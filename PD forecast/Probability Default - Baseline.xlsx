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ichellekadiman/Downloads/"/>
    </mc:Choice>
  </mc:AlternateContent>
  <xr:revisionPtr revIDLastSave="0" documentId="13_ncr:1_{A64C1BB9-1F92-8745-A2FF-0C3D071E53C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 s="1"/>
  <c r="D3" i="1"/>
  <c r="C3" i="1" s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C11" i="1"/>
  <c r="D11" i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D103" i="1"/>
  <c r="C103" i="1" s="1"/>
  <c r="D104" i="1"/>
  <c r="C104" i="1" s="1"/>
  <c r="E106" i="1"/>
  <c r="D106" i="1" s="1"/>
  <c r="C106" i="1" s="1"/>
  <c r="E107" i="1"/>
  <c r="D107" i="1" s="1"/>
  <c r="C107" i="1" s="1"/>
  <c r="E108" i="1"/>
  <c r="D108" i="1" s="1"/>
  <c r="C108" i="1" s="1"/>
  <c r="E109" i="1"/>
  <c r="D109" i="1" s="1"/>
  <c r="C109" i="1" s="1"/>
  <c r="E110" i="1"/>
  <c r="D110" i="1" s="1"/>
  <c r="C110" i="1" s="1"/>
  <c r="E111" i="1"/>
  <c r="D111" i="1" s="1"/>
  <c r="C111" i="1" s="1"/>
  <c r="E112" i="1"/>
  <c r="D112" i="1" s="1"/>
  <c r="C112" i="1" s="1"/>
  <c r="E113" i="1"/>
  <c r="D113" i="1" s="1"/>
  <c r="C113" i="1" s="1"/>
  <c r="E114" i="1"/>
  <c r="D114" i="1" s="1"/>
  <c r="C114" i="1" s="1"/>
  <c r="E115" i="1"/>
  <c r="D115" i="1" s="1"/>
  <c r="C115" i="1" s="1"/>
  <c r="E116" i="1"/>
  <c r="D116" i="1" s="1"/>
  <c r="C116" i="1" s="1"/>
  <c r="E117" i="1"/>
  <c r="D117" i="1" s="1"/>
  <c r="C117" i="1" s="1"/>
  <c r="E118" i="1"/>
  <c r="D118" i="1" s="1"/>
  <c r="C118" i="1" s="1"/>
  <c r="E105" i="1"/>
  <c r="D105" i="1" s="1"/>
  <c r="C105" i="1" s="1"/>
</calcChain>
</file>

<file path=xl/sharedStrings.xml><?xml version="1.0" encoding="utf-8"?>
<sst xmlns="http://schemas.openxmlformats.org/spreadsheetml/2006/main" count="267" uniqueCount="151">
  <si>
    <t>Entity</t>
  </si>
  <si>
    <t>Quarter</t>
  </si>
  <si>
    <t>Deliquency rate</t>
  </si>
  <si>
    <t>Real GDP growth</t>
  </si>
  <si>
    <t>Nominal GDP growth</t>
  </si>
  <si>
    <t>Real disposable income growth</t>
  </si>
  <si>
    <t>Nominal disposable income growth</t>
  </si>
  <si>
    <t>Unemployment rate</t>
  </si>
  <si>
    <t>CPI inflation rate</t>
  </si>
  <si>
    <t>3-month Treasury rate</t>
  </si>
  <si>
    <t>5-year Treasury yield</t>
  </si>
  <si>
    <t>10-year Treasury yield</t>
  </si>
  <si>
    <t>BBB corporate yield</t>
  </si>
  <si>
    <t>Mortgage rate</t>
  </si>
  <si>
    <t>Prime rate</t>
  </si>
  <si>
    <t>Dow Jones Total Stock Market Index (Level)</t>
  </si>
  <si>
    <t>House Price Index (Level)</t>
  </si>
  <si>
    <t>Commercial Real Estate Price Index (Level)</t>
  </si>
  <si>
    <t>Market Volatility Index (Level)</t>
  </si>
  <si>
    <t>Euro area real GDP growth</t>
  </si>
  <si>
    <t>Euro area inflation</t>
  </si>
  <si>
    <t>Euro area bilateral dollar exchange rate (USD/euro)</t>
  </si>
  <si>
    <t>Developing Asia real GDP growth</t>
  </si>
  <si>
    <t>Developing Asia inflation</t>
  </si>
  <si>
    <t>Developing Asia bilateral dollar exchange rate (F/USD, index)</t>
  </si>
  <si>
    <t>Japan real GDP growth</t>
  </si>
  <si>
    <t>Japan inflation</t>
  </si>
  <si>
    <t>Japan bilateral dollar exchange rate (yen/USD)</t>
  </si>
  <si>
    <t>U.K. real GDP growth</t>
  </si>
  <si>
    <t>U.K. inflation</t>
  </si>
  <si>
    <t>U.K. bilateral dollar exchange rate (USD/pound)</t>
  </si>
  <si>
    <t>wholesale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</si>
  <si>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</si>
  <si>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</si>
  <si>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</si>
  <si>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</si>
  <si>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</si>
  <si>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</si>
  <si>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</si>
  <si>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</si>
  <si>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</si>
  <si>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</si>
  <si>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</si>
  <si>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</si>
  <si>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</si>
  <si>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</si>
  <si>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</si>
  <si>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</si>
  <si>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</si>
  <si>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</si>
  <si>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</si>
  <si>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</si>
  <si>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</si>
  <si>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</si>
  <si>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</si>
  <si>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</si>
  <si>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</si>
  <si>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</si>
  <si>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</si>
  <si>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</si>
  <si>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</si>
  <si>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</si>
  <si>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</si>
  <si>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</si>
  <si>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</si>
  <si>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</si>
  <si>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</si>
  <si>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</si>
  <si>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</si>
  <si>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</si>
  <si>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</si>
  <si>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</si>
  <si>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</si>
  <si>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</si>
  <si>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</si>
  <si>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</si>
  <si>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</si>
  <si>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</si>
  <si>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</si>
  <si>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</si>
  <si>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</si>
  <si>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</si>
  <si>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</si>
  <si>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</si>
  <si>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</si>
  <si>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</si>
  <si>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</si>
  <si>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</si>
  <si>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</si>
  <si>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</si>
  <si>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</si>
  <si>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</si>
  <si>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</si>
  <si>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</si>
  <si>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</si>
  <si>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</si>
  <si>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</si>
  <si>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</si>
  <si>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</si>
  <si>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</si>
  <si>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</si>
  <si>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</si>
  <si>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</si>
  <si>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</si>
  <si>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</si>
  <si>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</si>
  <si>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</si>
  <si>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</si>
  <si>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</si>
  <si>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</si>
  <si>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</si>
  <si>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</si>
  <si>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</si>
  <si>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</si>
  <si>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</si>
  <si>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</si>
  <si>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</si>
  <si>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</si>
  <si>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</si>
  <si>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</si>
  <si>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</si>
  <si>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</si>
  <si>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</si>
  <si>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</si>
  <si>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</si>
  <si>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</si>
  <si>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</si>
  <si>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</si>
  <si>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</si>
  <si>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</si>
  <si>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</si>
  <si>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</si>
  <si>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</si>
  <si>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</si>
  <si>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</si>
  <si>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</si>
  <si>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</si>
  <si>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</si>
  <si>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</si>
  <si>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</si>
  <si>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2029Q1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</si>
  <si>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</si>
  <si>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</si>
  <si>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</si>
  <si>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</si>
  <si>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</si>
  <si>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</si>
  <si>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</si>
  <si>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</si>
  <si>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Probability of Default</t>
  </si>
  <si>
    <t>Log(Delinq)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</si>
</sst>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6" formatCode="_(* #,##0.000000_);_(* \(#,##0.0000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8"/>
  <sheetViews>
    <sheetView tabSelected="1" zoomScale="108" workbookViewId="0">
      <pane ySplit="1" topLeftCell="A81" activePane="bottomLeft" state="frozen"/>
      <selection pane="bottomLeft" activeCell="I104" sqref="I104"/>
    </sheetView>
  </sheetViews>
  <sheetFormatPr baseColWidth="10" defaultColWidth="8.83203125" defaultRowHeight="15" x14ac:dyDescent="0.2"/>
  <cols>
    <col min="3" max="3" width="17.6640625" bestFit="1" customWidth="1"/>
    <col min="4" max="4" width="10.1640625" customWidth="1"/>
    <col min="5" max="5" width="14.5" style="4" bestFit="1" customWidth="1"/>
    <col min="32" max="32" width="11.1640625" bestFit="1" customWidth="1"/>
    <col min="33" max="33" width="38.33203125" bestFit="1" customWidth="1"/>
  </cols>
  <sheetData>
    <row r="1" spans="1:33" x14ac:dyDescent="0.2">
      <c r="A1" s="1" t="s">
        <v>0</v>
      </c>
      <c r="B1" s="1" t="s">
        <v>1</v>
      </c>
      <c r="C1" s="1" t="s">
        <v>149</v>
      </c>
      <c r="D1" s="1" t="s">
        <v>150</v>
      </c>
      <c r="E1" s="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 x14ac:dyDescent="0.2">
      <c r="A2" t="s">
        <v>31</v>
      </c>
      <c r="B2" t="s">
        <v>32</v>
      </c>
      <c r="C2" s="5">
        <f>1/(1+EXP(-D2))</f>
        <v>1.9099999999999995E-2</v>
      </c>
      <c r="D2" s="2">
        <f>LN(E2/(1-E2))</f>
        <v>-3.9387821825176861</v>
      </c>
      <c r="E2" s="4">
        <v>1.9099999999999999E-2</v>
      </c>
      <c r="F2">
        <v>1.5</v>
      </c>
      <c r="G2">
        <v>4.2</v>
      </c>
      <c r="H2">
        <v>7.2</v>
      </c>
      <c r="I2">
        <v>10.7</v>
      </c>
      <c r="J2">
        <v>4</v>
      </c>
      <c r="K2">
        <v>4</v>
      </c>
      <c r="L2">
        <v>5.5</v>
      </c>
      <c r="M2">
        <v>6.6</v>
      </c>
      <c r="N2">
        <v>6.7</v>
      </c>
      <c r="O2">
        <v>8.3000000000000007</v>
      </c>
      <c r="P2">
        <v>8.3000000000000007</v>
      </c>
      <c r="Q2">
        <v>8.6999999999999993</v>
      </c>
      <c r="R2">
        <v>14296.2</v>
      </c>
      <c r="S2">
        <v>102.3</v>
      </c>
      <c r="T2">
        <v>125.1</v>
      </c>
      <c r="U2">
        <v>27</v>
      </c>
      <c r="V2">
        <v>5.2</v>
      </c>
      <c r="W2">
        <v>2.6</v>
      </c>
      <c r="X2">
        <v>0.95699999999999996</v>
      </c>
      <c r="Y2">
        <v>7.5</v>
      </c>
      <c r="Z2">
        <v>1.5</v>
      </c>
      <c r="AA2">
        <v>100</v>
      </c>
      <c r="AB2">
        <v>7.7</v>
      </c>
      <c r="AC2">
        <v>-0.5</v>
      </c>
      <c r="AD2">
        <v>102.7</v>
      </c>
      <c r="AE2">
        <v>5.4</v>
      </c>
      <c r="AF2">
        <v>0.3</v>
      </c>
      <c r="AG2">
        <v>1.5920000000000001</v>
      </c>
    </row>
    <row r="3" spans="1:33" x14ac:dyDescent="0.2">
      <c r="A3" t="s">
        <v>31</v>
      </c>
      <c r="B3" t="s">
        <v>33</v>
      </c>
      <c r="C3" s="5">
        <f t="shared" ref="C3:C66" si="0">1/(1+EXP(-D3))</f>
        <v>2.0799999999999999E-2</v>
      </c>
      <c r="D3" s="2">
        <f t="shared" ref="D3:D66" si="1">LN(E3/(1-E3))</f>
        <v>-3.8517829250507893</v>
      </c>
      <c r="E3" s="4">
        <v>2.0799999999999999E-2</v>
      </c>
      <c r="F3">
        <v>7.5</v>
      </c>
      <c r="G3">
        <v>10.199999999999999</v>
      </c>
      <c r="H3">
        <v>4.8</v>
      </c>
      <c r="I3">
        <v>6.8</v>
      </c>
      <c r="J3">
        <v>3.9</v>
      </c>
      <c r="K3">
        <v>3.2</v>
      </c>
      <c r="L3">
        <v>5.7</v>
      </c>
      <c r="M3">
        <v>6.5</v>
      </c>
      <c r="N3">
        <v>6.4</v>
      </c>
      <c r="O3">
        <v>8.6</v>
      </c>
      <c r="P3">
        <v>8.3000000000000007</v>
      </c>
      <c r="Q3">
        <v>9.1999999999999993</v>
      </c>
      <c r="R3">
        <v>13618.5</v>
      </c>
      <c r="S3">
        <v>104.9</v>
      </c>
      <c r="T3">
        <v>133.30000000000001</v>
      </c>
      <c r="U3">
        <v>33.5</v>
      </c>
      <c r="V3">
        <v>3.7</v>
      </c>
      <c r="W3">
        <v>0.9</v>
      </c>
      <c r="X3">
        <v>0.95499999999999996</v>
      </c>
      <c r="Y3">
        <v>7.1</v>
      </c>
      <c r="Z3">
        <v>-0.3</v>
      </c>
      <c r="AA3">
        <v>100.7</v>
      </c>
      <c r="AB3">
        <v>2.5</v>
      </c>
      <c r="AC3">
        <v>-1.1000000000000001</v>
      </c>
      <c r="AD3">
        <v>106.1</v>
      </c>
      <c r="AE3">
        <v>2.9</v>
      </c>
      <c r="AF3">
        <v>0.5</v>
      </c>
      <c r="AG3">
        <v>1.5129999999999999</v>
      </c>
    </row>
    <row r="4" spans="1:33" x14ac:dyDescent="0.2">
      <c r="A4" t="s">
        <v>31</v>
      </c>
      <c r="B4" t="s">
        <v>34</v>
      </c>
      <c r="C4" s="5">
        <f t="shared" si="0"/>
        <v>2.1799999999999996E-2</v>
      </c>
      <c r="D4" s="2">
        <f t="shared" si="1"/>
        <v>-3.8038041783102137</v>
      </c>
      <c r="E4" s="4">
        <v>2.18E-2</v>
      </c>
      <c r="F4">
        <v>0.4</v>
      </c>
      <c r="G4">
        <v>2.8</v>
      </c>
      <c r="H4">
        <v>5.4</v>
      </c>
      <c r="I4">
        <v>8.1</v>
      </c>
      <c r="J4">
        <v>4</v>
      </c>
      <c r="K4">
        <v>3.7</v>
      </c>
      <c r="L4">
        <v>6</v>
      </c>
      <c r="M4">
        <v>6.1</v>
      </c>
      <c r="N4">
        <v>6.1</v>
      </c>
      <c r="O4">
        <v>8.1999999999999993</v>
      </c>
      <c r="P4">
        <v>8</v>
      </c>
      <c r="Q4">
        <v>9.5</v>
      </c>
      <c r="R4">
        <v>13613.3</v>
      </c>
      <c r="S4">
        <v>107.2</v>
      </c>
      <c r="T4">
        <v>142.30000000000001</v>
      </c>
      <c r="U4">
        <v>21.9</v>
      </c>
      <c r="V4">
        <v>2.7</v>
      </c>
      <c r="W4">
        <v>3.4</v>
      </c>
      <c r="X4">
        <v>0.88400000000000001</v>
      </c>
      <c r="Y4">
        <v>7.8</v>
      </c>
      <c r="Z4">
        <v>2.2999999999999998</v>
      </c>
      <c r="AA4">
        <v>101.4</v>
      </c>
      <c r="AB4">
        <v>-0.2</v>
      </c>
      <c r="AC4">
        <v>-0.4</v>
      </c>
      <c r="AD4">
        <v>107.9</v>
      </c>
      <c r="AE4">
        <v>2.5</v>
      </c>
      <c r="AF4">
        <v>1</v>
      </c>
      <c r="AG4">
        <v>1.4790000000000001</v>
      </c>
    </row>
    <row r="5" spans="1:33" x14ac:dyDescent="0.2">
      <c r="A5" t="s">
        <v>31</v>
      </c>
      <c r="B5" t="s">
        <v>35</v>
      </c>
      <c r="C5" s="5">
        <f t="shared" si="0"/>
        <v>2.3700000000000006E-2</v>
      </c>
      <c r="D5" s="2">
        <f t="shared" si="1"/>
        <v>-3.7182948680905401</v>
      </c>
      <c r="E5" s="4">
        <v>2.3699999999999999E-2</v>
      </c>
      <c r="F5">
        <v>2.4</v>
      </c>
      <c r="G5">
        <v>4.5999999999999996</v>
      </c>
      <c r="H5">
        <v>2.7</v>
      </c>
      <c r="I5">
        <v>5.0999999999999996</v>
      </c>
      <c r="J5">
        <v>3.9</v>
      </c>
      <c r="K5">
        <v>2.9</v>
      </c>
      <c r="L5">
        <v>6</v>
      </c>
      <c r="M5">
        <v>5.6</v>
      </c>
      <c r="N5">
        <v>5.8</v>
      </c>
      <c r="O5">
        <v>8</v>
      </c>
      <c r="P5">
        <v>7.6</v>
      </c>
      <c r="Q5">
        <v>9.5</v>
      </c>
      <c r="R5">
        <v>12175.9</v>
      </c>
      <c r="S5">
        <v>109.6</v>
      </c>
      <c r="T5">
        <v>145.19999999999999</v>
      </c>
      <c r="U5">
        <v>31.7</v>
      </c>
      <c r="V5">
        <v>1.9</v>
      </c>
      <c r="W5">
        <v>2.8</v>
      </c>
      <c r="X5">
        <v>0.93899999999999995</v>
      </c>
      <c r="Y5">
        <v>3.7</v>
      </c>
      <c r="Z5">
        <v>2.5</v>
      </c>
      <c r="AA5">
        <v>105.2</v>
      </c>
      <c r="AB5">
        <v>4.2</v>
      </c>
      <c r="AC5">
        <v>-1</v>
      </c>
      <c r="AD5">
        <v>114.4</v>
      </c>
      <c r="AE5">
        <v>2.4</v>
      </c>
      <c r="AF5">
        <v>1.9</v>
      </c>
      <c r="AG5">
        <v>1.496</v>
      </c>
    </row>
    <row r="6" spans="1:33" x14ac:dyDescent="0.2">
      <c r="A6" t="s">
        <v>31</v>
      </c>
      <c r="B6" t="s">
        <v>36</v>
      </c>
      <c r="C6" s="5">
        <f t="shared" si="0"/>
        <v>2.5900000000000003E-2</v>
      </c>
      <c r="D6" s="2">
        <f t="shared" si="1"/>
        <v>-3.6272709990714178</v>
      </c>
      <c r="E6" s="4">
        <v>2.5899999999999999E-2</v>
      </c>
      <c r="F6">
        <v>-1.3</v>
      </c>
      <c r="G6">
        <v>1.3</v>
      </c>
      <c r="H6">
        <v>3.2</v>
      </c>
      <c r="I6">
        <v>6.3</v>
      </c>
      <c r="J6">
        <v>4.2</v>
      </c>
      <c r="K6">
        <v>3.9</v>
      </c>
      <c r="L6">
        <v>4.8</v>
      </c>
      <c r="M6">
        <v>4.9000000000000004</v>
      </c>
      <c r="N6">
        <v>5.3</v>
      </c>
      <c r="O6">
        <v>7.5</v>
      </c>
      <c r="P6">
        <v>7</v>
      </c>
      <c r="Q6">
        <v>8.6</v>
      </c>
      <c r="R6">
        <v>10645.9</v>
      </c>
      <c r="S6">
        <v>112.2</v>
      </c>
      <c r="T6">
        <v>143.5</v>
      </c>
      <c r="U6">
        <v>32.799999999999997</v>
      </c>
      <c r="V6">
        <v>4.5</v>
      </c>
      <c r="W6">
        <v>1.2</v>
      </c>
      <c r="X6">
        <v>0.879</v>
      </c>
      <c r="Y6">
        <v>4.5</v>
      </c>
      <c r="Z6">
        <v>1.7</v>
      </c>
      <c r="AA6">
        <v>106.1</v>
      </c>
      <c r="AB6">
        <v>2.4</v>
      </c>
      <c r="AC6">
        <v>0.7</v>
      </c>
      <c r="AD6">
        <v>125.5</v>
      </c>
      <c r="AE6">
        <v>3.4</v>
      </c>
      <c r="AF6">
        <v>-0.1</v>
      </c>
      <c r="AG6">
        <v>1.419</v>
      </c>
    </row>
    <row r="7" spans="1:33" x14ac:dyDescent="0.2">
      <c r="A7" t="s">
        <v>31</v>
      </c>
      <c r="B7" t="s">
        <v>37</v>
      </c>
      <c r="C7" s="5">
        <f t="shared" si="0"/>
        <v>2.9100000000000001E-2</v>
      </c>
      <c r="D7" s="2">
        <f t="shared" si="1"/>
        <v>-3.5074853021986523</v>
      </c>
      <c r="E7" s="4">
        <v>2.9100000000000001E-2</v>
      </c>
      <c r="F7">
        <v>2.5</v>
      </c>
      <c r="G7">
        <v>5</v>
      </c>
      <c r="H7">
        <v>-0.3</v>
      </c>
      <c r="I7">
        <v>1.6</v>
      </c>
      <c r="J7">
        <v>4.4000000000000004</v>
      </c>
      <c r="K7">
        <v>2.8</v>
      </c>
      <c r="L7">
        <v>3.7</v>
      </c>
      <c r="M7">
        <v>4.9000000000000004</v>
      </c>
      <c r="N7">
        <v>5.5</v>
      </c>
      <c r="O7">
        <v>7.5</v>
      </c>
      <c r="P7">
        <v>7.1</v>
      </c>
      <c r="Q7">
        <v>7.3</v>
      </c>
      <c r="R7">
        <v>11407.2</v>
      </c>
      <c r="S7">
        <v>114.2</v>
      </c>
      <c r="T7">
        <v>145</v>
      </c>
      <c r="U7">
        <v>34.700000000000003</v>
      </c>
      <c r="V7">
        <v>0.2</v>
      </c>
      <c r="W7">
        <v>4</v>
      </c>
      <c r="X7">
        <v>0.84699999999999998</v>
      </c>
      <c r="Y7">
        <v>5.5</v>
      </c>
      <c r="Z7">
        <v>2.1</v>
      </c>
      <c r="AA7">
        <v>106.2</v>
      </c>
      <c r="AB7">
        <v>-3</v>
      </c>
      <c r="AC7">
        <v>-1.9</v>
      </c>
      <c r="AD7">
        <v>124.7</v>
      </c>
      <c r="AE7">
        <v>1.7</v>
      </c>
      <c r="AF7">
        <v>3.2</v>
      </c>
      <c r="AG7">
        <v>1.4079999999999999</v>
      </c>
    </row>
    <row r="8" spans="1:33" x14ac:dyDescent="0.2">
      <c r="A8" t="s">
        <v>31</v>
      </c>
      <c r="B8" t="s">
        <v>38</v>
      </c>
      <c r="C8" s="5">
        <f t="shared" si="0"/>
        <v>3.2599999999999997E-2</v>
      </c>
      <c r="D8" s="2">
        <f t="shared" si="1"/>
        <v>-3.3902997720162209</v>
      </c>
      <c r="E8" s="4">
        <v>3.2599999999999997E-2</v>
      </c>
      <c r="F8">
        <v>-1.6</v>
      </c>
      <c r="G8">
        <v>0</v>
      </c>
      <c r="H8">
        <v>9.5</v>
      </c>
      <c r="I8">
        <v>9.6999999999999993</v>
      </c>
      <c r="J8">
        <v>4.8</v>
      </c>
      <c r="K8">
        <v>1.1000000000000001</v>
      </c>
      <c r="L8">
        <v>3.2</v>
      </c>
      <c r="M8">
        <v>4.5999999999999996</v>
      </c>
      <c r="N8">
        <v>5.3</v>
      </c>
      <c r="O8">
        <v>7.2</v>
      </c>
      <c r="P8">
        <v>7</v>
      </c>
      <c r="Q8">
        <v>6.6</v>
      </c>
      <c r="R8">
        <v>9563</v>
      </c>
      <c r="S8">
        <v>116.4</v>
      </c>
      <c r="T8">
        <v>146.19999999999999</v>
      </c>
      <c r="U8">
        <v>43.7</v>
      </c>
      <c r="V8">
        <v>0.9</v>
      </c>
      <c r="W8">
        <v>1.5</v>
      </c>
      <c r="X8">
        <v>0.91</v>
      </c>
      <c r="Y8">
        <v>4.9000000000000004</v>
      </c>
      <c r="Z8">
        <v>1.3</v>
      </c>
      <c r="AA8">
        <v>106.5</v>
      </c>
      <c r="AB8">
        <v>-4.5999999999999996</v>
      </c>
      <c r="AC8">
        <v>-0.7</v>
      </c>
      <c r="AD8">
        <v>119.2</v>
      </c>
      <c r="AE8">
        <v>1.9</v>
      </c>
      <c r="AF8">
        <v>1</v>
      </c>
      <c r="AG8">
        <v>1.4690000000000001</v>
      </c>
    </row>
    <row r="9" spans="1:33" x14ac:dyDescent="0.2">
      <c r="A9" t="s">
        <v>31</v>
      </c>
      <c r="B9" t="s">
        <v>39</v>
      </c>
      <c r="C9" s="5">
        <f t="shared" si="0"/>
        <v>3.5599999999999993E-2</v>
      </c>
      <c r="D9" s="2">
        <f t="shared" si="1"/>
        <v>-3.2991605084490314</v>
      </c>
      <c r="E9" s="4">
        <v>3.56E-2</v>
      </c>
      <c r="F9">
        <v>1.1000000000000001</v>
      </c>
      <c r="G9">
        <v>2.4</v>
      </c>
      <c r="H9">
        <v>-6.5</v>
      </c>
      <c r="I9">
        <v>-6.3</v>
      </c>
      <c r="J9">
        <v>5.5</v>
      </c>
      <c r="K9">
        <v>-0.3</v>
      </c>
      <c r="L9">
        <v>1.9</v>
      </c>
      <c r="M9">
        <v>4.2</v>
      </c>
      <c r="N9">
        <v>5.0999999999999996</v>
      </c>
      <c r="O9">
        <v>7.1</v>
      </c>
      <c r="P9">
        <v>6.8</v>
      </c>
      <c r="Q9">
        <v>5.2</v>
      </c>
      <c r="R9">
        <v>10707.7</v>
      </c>
      <c r="S9">
        <v>118.3</v>
      </c>
      <c r="T9">
        <v>138.6</v>
      </c>
      <c r="U9">
        <v>35.299999999999997</v>
      </c>
      <c r="V9">
        <v>-0.2</v>
      </c>
      <c r="W9">
        <v>1.7</v>
      </c>
      <c r="X9">
        <v>0.89</v>
      </c>
      <c r="Y9">
        <v>8.3000000000000007</v>
      </c>
      <c r="Z9">
        <v>0</v>
      </c>
      <c r="AA9">
        <v>107</v>
      </c>
      <c r="AB9">
        <v>-0.9</v>
      </c>
      <c r="AC9">
        <v>-1.8</v>
      </c>
      <c r="AD9">
        <v>131</v>
      </c>
      <c r="AE9">
        <v>1.1000000000000001</v>
      </c>
      <c r="AF9">
        <v>-0.1</v>
      </c>
      <c r="AG9">
        <v>1.454</v>
      </c>
    </row>
    <row r="10" spans="1:33" x14ac:dyDescent="0.2">
      <c r="A10" t="s">
        <v>31</v>
      </c>
      <c r="B10" t="s">
        <v>40</v>
      </c>
      <c r="C10" s="5">
        <f t="shared" si="0"/>
        <v>3.8400000000000004E-2</v>
      </c>
      <c r="D10" s="2">
        <f t="shared" si="1"/>
        <v>-3.2205411041872618</v>
      </c>
      <c r="E10" s="4">
        <v>3.8399999999999997E-2</v>
      </c>
      <c r="F10">
        <v>3.4</v>
      </c>
      <c r="G10">
        <v>4.7</v>
      </c>
      <c r="H10">
        <v>9.9</v>
      </c>
      <c r="I10">
        <v>10.8</v>
      </c>
      <c r="J10">
        <v>5.7</v>
      </c>
      <c r="K10">
        <v>1.3</v>
      </c>
      <c r="L10">
        <v>1.7</v>
      </c>
      <c r="M10">
        <v>4.5</v>
      </c>
      <c r="N10">
        <v>5.4</v>
      </c>
      <c r="O10">
        <v>7.4</v>
      </c>
      <c r="P10">
        <v>7</v>
      </c>
      <c r="Q10">
        <v>4.8</v>
      </c>
      <c r="R10">
        <v>10775.7</v>
      </c>
      <c r="S10">
        <v>120.4</v>
      </c>
      <c r="T10">
        <v>142.5</v>
      </c>
      <c r="U10">
        <v>26.1</v>
      </c>
      <c r="V10">
        <v>0.9</v>
      </c>
      <c r="W10">
        <v>3.1</v>
      </c>
      <c r="X10">
        <v>0.872</v>
      </c>
      <c r="Y10">
        <v>8.1</v>
      </c>
      <c r="Z10">
        <v>0.5</v>
      </c>
      <c r="AA10">
        <v>107.4</v>
      </c>
      <c r="AB10">
        <v>1</v>
      </c>
      <c r="AC10">
        <v>-1.2</v>
      </c>
      <c r="AD10">
        <v>132.69999999999999</v>
      </c>
      <c r="AE10">
        <v>1.2</v>
      </c>
      <c r="AF10">
        <v>2</v>
      </c>
      <c r="AG10">
        <v>1.425</v>
      </c>
    </row>
    <row r="11" spans="1:33" x14ac:dyDescent="0.2">
      <c r="A11" t="s">
        <v>31</v>
      </c>
      <c r="B11" t="s">
        <v>41</v>
      </c>
      <c r="C11" s="5">
        <f t="shared" si="0"/>
        <v>4.1799999999999997E-2</v>
      </c>
      <c r="D11" s="2">
        <f t="shared" si="1"/>
        <v>-3.1321601849183112</v>
      </c>
      <c r="E11" s="4">
        <v>4.1799999999999997E-2</v>
      </c>
      <c r="F11">
        <v>2.5</v>
      </c>
      <c r="G11">
        <v>3.9</v>
      </c>
      <c r="H11">
        <v>3.2</v>
      </c>
      <c r="I11">
        <v>6.3</v>
      </c>
      <c r="J11">
        <v>5.8</v>
      </c>
      <c r="K11">
        <v>3.2</v>
      </c>
      <c r="L11">
        <v>1.7</v>
      </c>
      <c r="M11">
        <v>4.5</v>
      </c>
      <c r="N11">
        <v>5.4</v>
      </c>
      <c r="O11">
        <v>7.5</v>
      </c>
      <c r="P11">
        <v>6.8</v>
      </c>
      <c r="Q11">
        <v>4.8</v>
      </c>
      <c r="R11">
        <v>9384</v>
      </c>
      <c r="S11">
        <v>123.6</v>
      </c>
      <c r="T11">
        <v>140.69999999999999</v>
      </c>
      <c r="U11">
        <v>28.4</v>
      </c>
      <c r="V11">
        <v>1.9</v>
      </c>
      <c r="W11">
        <v>2</v>
      </c>
      <c r="X11">
        <v>0.98599999999999999</v>
      </c>
      <c r="Y11">
        <v>8.1999999999999993</v>
      </c>
      <c r="Z11">
        <v>1.1000000000000001</v>
      </c>
      <c r="AA11">
        <v>104.8</v>
      </c>
      <c r="AB11">
        <v>2.9</v>
      </c>
      <c r="AC11">
        <v>0.3</v>
      </c>
      <c r="AD11">
        <v>119.9</v>
      </c>
      <c r="AE11">
        <v>2.1</v>
      </c>
      <c r="AF11">
        <v>0.9</v>
      </c>
      <c r="AG11">
        <v>1.5249999999999999</v>
      </c>
    </row>
    <row r="12" spans="1:33" x14ac:dyDescent="0.2">
      <c r="A12" t="s">
        <v>31</v>
      </c>
      <c r="B12" t="s">
        <v>42</v>
      </c>
      <c r="C12" s="5">
        <f t="shared" si="0"/>
        <v>4.0899999999999999E-2</v>
      </c>
      <c r="D12" s="2">
        <f t="shared" si="1"/>
        <v>-3.1548652816851495</v>
      </c>
      <c r="E12" s="4">
        <v>4.0899999999999999E-2</v>
      </c>
      <c r="F12">
        <v>1.6</v>
      </c>
      <c r="G12">
        <v>3.6</v>
      </c>
      <c r="H12">
        <v>0.5</v>
      </c>
      <c r="I12">
        <v>2.6</v>
      </c>
      <c r="J12">
        <v>5.7</v>
      </c>
      <c r="K12">
        <v>2.2000000000000002</v>
      </c>
      <c r="L12">
        <v>1.6</v>
      </c>
      <c r="M12">
        <v>3.4</v>
      </c>
      <c r="N12">
        <v>4.5</v>
      </c>
      <c r="O12">
        <v>7.2</v>
      </c>
      <c r="P12">
        <v>6.3</v>
      </c>
      <c r="Q12">
        <v>4.8</v>
      </c>
      <c r="R12">
        <v>7773.6</v>
      </c>
      <c r="S12">
        <v>126.7</v>
      </c>
      <c r="T12">
        <v>143.19999999999999</v>
      </c>
      <c r="U12">
        <v>45.1</v>
      </c>
      <c r="V12">
        <v>1.8</v>
      </c>
      <c r="W12">
        <v>1.6</v>
      </c>
      <c r="X12">
        <v>0.98799999999999999</v>
      </c>
      <c r="Y12">
        <v>7.2</v>
      </c>
      <c r="Z12">
        <v>1.5</v>
      </c>
      <c r="AA12">
        <v>105.5</v>
      </c>
      <c r="AB12">
        <v>1.2</v>
      </c>
      <c r="AC12">
        <v>-0.4</v>
      </c>
      <c r="AD12">
        <v>121.7</v>
      </c>
      <c r="AE12">
        <v>2.4</v>
      </c>
      <c r="AF12">
        <v>1.3</v>
      </c>
      <c r="AG12">
        <v>1.57</v>
      </c>
    </row>
    <row r="13" spans="1:33" x14ac:dyDescent="0.2">
      <c r="A13" t="s">
        <v>31</v>
      </c>
      <c r="B13" t="s">
        <v>43</v>
      </c>
      <c r="C13" s="5">
        <f t="shared" si="0"/>
        <v>4.07E-2</v>
      </c>
      <c r="D13" s="2">
        <f t="shared" si="1"/>
        <v>-3.1599757593753526</v>
      </c>
      <c r="E13" s="4">
        <v>4.07E-2</v>
      </c>
      <c r="F13">
        <v>0.5</v>
      </c>
      <c r="G13">
        <v>2.8</v>
      </c>
      <c r="H13">
        <v>2.5</v>
      </c>
      <c r="I13">
        <v>4.4000000000000004</v>
      </c>
      <c r="J13">
        <v>5.9</v>
      </c>
      <c r="K13">
        <v>2.4</v>
      </c>
      <c r="L13">
        <v>1.3</v>
      </c>
      <c r="M13">
        <v>3.1</v>
      </c>
      <c r="N13">
        <v>4.3</v>
      </c>
      <c r="O13">
        <v>6.9</v>
      </c>
      <c r="P13">
        <v>6.1</v>
      </c>
      <c r="Q13">
        <v>4.5</v>
      </c>
      <c r="R13">
        <v>8343.2000000000007</v>
      </c>
      <c r="S13">
        <v>129.30000000000001</v>
      </c>
      <c r="T13">
        <v>148.69999999999999</v>
      </c>
      <c r="U13">
        <v>42.6</v>
      </c>
      <c r="V13">
        <v>0.8</v>
      </c>
      <c r="W13">
        <v>2.2999999999999998</v>
      </c>
      <c r="X13">
        <v>1.0489999999999999</v>
      </c>
      <c r="Y13">
        <v>6.6</v>
      </c>
      <c r="Z13">
        <v>0.8</v>
      </c>
      <c r="AA13">
        <v>104.5</v>
      </c>
      <c r="AB13">
        <v>0.9</v>
      </c>
      <c r="AC13">
        <v>-0.8</v>
      </c>
      <c r="AD13">
        <v>118.8</v>
      </c>
      <c r="AE13">
        <v>2.7</v>
      </c>
      <c r="AF13">
        <v>1.9</v>
      </c>
      <c r="AG13">
        <v>1.61</v>
      </c>
    </row>
    <row r="14" spans="1:33" x14ac:dyDescent="0.2">
      <c r="A14" t="s">
        <v>31</v>
      </c>
      <c r="B14" t="s">
        <v>44</v>
      </c>
      <c r="C14" s="5">
        <f t="shared" si="0"/>
        <v>3.8200000000000005E-2</v>
      </c>
      <c r="D14" s="2">
        <f t="shared" si="1"/>
        <v>-3.2259710132310326</v>
      </c>
      <c r="E14" s="4">
        <v>3.8199999999999998E-2</v>
      </c>
      <c r="F14">
        <v>2.1</v>
      </c>
      <c r="G14">
        <v>4.0999999999999996</v>
      </c>
      <c r="H14">
        <v>0.1</v>
      </c>
      <c r="I14">
        <v>3.2</v>
      </c>
      <c r="J14">
        <v>5.9</v>
      </c>
      <c r="K14">
        <v>4.2</v>
      </c>
      <c r="L14">
        <v>1.2</v>
      </c>
      <c r="M14">
        <v>2.9</v>
      </c>
      <c r="N14">
        <v>4.2</v>
      </c>
      <c r="O14">
        <v>6.2</v>
      </c>
      <c r="P14">
        <v>5.8</v>
      </c>
      <c r="Q14">
        <v>4.3</v>
      </c>
      <c r="R14">
        <v>8051.9</v>
      </c>
      <c r="S14">
        <v>131.9</v>
      </c>
      <c r="T14">
        <v>154.69999999999999</v>
      </c>
      <c r="U14">
        <v>34.700000000000003</v>
      </c>
      <c r="V14">
        <v>-1.1000000000000001</v>
      </c>
      <c r="W14">
        <v>3.3</v>
      </c>
      <c r="X14">
        <v>1.0900000000000001</v>
      </c>
      <c r="Y14">
        <v>6.8</v>
      </c>
      <c r="Z14">
        <v>3.6</v>
      </c>
      <c r="AA14">
        <v>105.5</v>
      </c>
      <c r="AB14">
        <v>-0.5</v>
      </c>
      <c r="AC14">
        <v>0</v>
      </c>
      <c r="AD14">
        <v>118.1</v>
      </c>
      <c r="AE14">
        <v>3.4</v>
      </c>
      <c r="AF14">
        <v>1.7</v>
      </c>
      <c r="AG14">
        <v>1.579</v>
      </c>
    </row>
    <row r="15" spans="1:33" x14ac:dyDescent="0.2">
      <c r="A15" t="s">
        <v>31</v>
      </c>
      <c r="B15" t="s">
        <v>45</v>
      </c>
      <c r="C15" s="5">
        <f t="shared" si="0"/>
        <v>3.7700000000000004E-2</v>
      </c>
      <c r="D15" s="2">
        <f t="shared" si="1"/>
        <v>-3.2396661579083901</v>
      </c>
      <c r="E15" s="4">
        <v>3.7699999999999997E-2</v>
      </c>
      <c r="F15">
        <v>3.6</v>
      </c>
      <c r="G15">
        <v>5.0999999999999996</v>
      </c>
      <c r="H15">
        <v>4.5999999999999996</v>
      </c>
      <c r="I15">
        <v>5</v>
      </c>
      <c r="J15">
        <v>6.1</v>
      </c>
      <c r="K15">
        <v>-0.7</v>
      </c>
      <c r="L15">
        <v>1</v>
      </c>
      <c r="M15">
        <v>2.6</v>
      </c>
      <c r="N15">
        <v>3.8</v>
      </c>
      <c r="O15">
        <v>5.3</v>
      </c>
      <c r="P15">
        <v>5.5</v>
      </c>
      <c r="Q15">
        <v>4.2</v>
      </c>
      <c r="R15">
        <v>9342.4</v>
      </c>
      <c r="S15">
        <v>134.69999999999999</v>
      </c>
      <c r="T15">
        <v>153.1</v>
      </c>
      <c r="U15">
        <v>29.1</v>
      </c>
      <c r="V15">
        <v>0.2</v>
      </c>
      <c r="W15">
        <v>0.5</v>
      </c>
      <c r="X15">
        <v>1.1499999999999999</v>
      </c>
      <c r="Y15">
        <v>2.1</v>
      </c>
      <c r="Z15">
        <v>1.1000000000000001</v>
      </c>
      <c r="AA15">
        <v>104</v>
      </c>
      <c r="AB15">
        <v>3.3</v>
      </c>
      <c r="AC15">
        <v>0.3</v>
      </c>
      <c r="AD15">
        <v>119.9</v>
      </c>
      <c r="AE15">
        <v>3.8</v>
      </c>
      <c r="AF15">
        <v>0.2</v>
      </c>
      <c r="AG15">
        <v>1.653</v>
      </c>
    </row>
    <row r="16" spans="1:33" x14ac:dyDescent="0.2">
      <c r="A16" t="s">
        <v>31</v>
      </c>
      <c r="B16" t="s">
        <v>46</v>
      </c>
      <c r="C16" s="5">
        <f t="shared" si="0"/>
        <v>3.450000000000001E-2</v>
      </c>
      <c r="D16" s="2">
        <f t="shared" si="1"/>
        <v>-3.3316867778312549</v>
      </c>
      <c r="E16" s="4">
        <v>3.4500000000000003E-2</v>
      </c>
      <c r="F16">
        <v>6.8</v>
      </c>
      <c r="G16">
        <v>9.3000000000000007</v>
      </c>
      <c r="H16">
        <v>7</v>
      </c>
      <c r="I16">
        <v>9.8000000000000007</v>
      </c>
      <c r="J16">
        <v>6.1</v>
      </c>
      <c r="K16">
        <v>3</v>
      </c>
      <c r="L16">
        <v>0.9</v>
      </c>
      <c r="M16">
        <v>3.1</v>
      </c>
      <c r="N16">
        <v>4.4000000000000004</v>
      </c>
      <c r="O16">
        <v>5.6</v>
      </c>
      <c r="P16">
        <v>6</v>
      </c>
      <c r="Q16">
        <v>4</v>
      </c>
      <c r="R16">
        <v>9649.7000000000007</v>
      </c>
      <c r="S16">
        <v>138.69999999999999</v>
      </c>
      <c r="T16">
        <v>149</v>
      </c>
      <c r="U16">
        <v>22.7</v>
      </c>
      <c r="V16">
        <v>2.6</v>
      </c>
      <c r="W16">
        <v>2.1</v>
      </c>
      <c r="X16">
        <v>1.165</v>
      </c>
      <c r="Y16">
        <v>14.2</v>
      </c>
      <c r="Z16">
        <v>0.1</v>
      </c>
      <c r="AA16">
        <v>102.6</v>
      </c>
      <c r="AB16">
        <v>1.2</v>
      </c>
      <c r="AC16">
        <v>-0.7</v>
      </c>
      <c r="AD16">
        <v>111.4</v>
      </c>
      <c r="AE16">
        <v>4.2</v>
      </c>
      <c r="AF16">
        <v>1.7</v>
      </c>
      <c r="AG16">
        <v>1.6619999999999999</v>
      </c>
    </row>
    <row r="17" spans="1:33" x14ac:dyDescent="0.2">
      <c r="A17" t="s">
        <v>31</v>
      </c>
      <c r="B17" t="s">
        <v>47</v>
      </c>
      <c r="C17" s="5">
        <f t="shared" si="0"/>
        <v>2.93E-2</v>
      </c>
      <c r="D17" s="2">
        <f t="shared" si="1"/>
        <v>-3.500429944695159</v>
      </c>
      <c r="E17" s="4">
        <v>2.93E-2</v>
      </c>
      <c r="F17">
        <v>4.7</v>
      </c>
      <c r="G17">
        <v>7.3</v>
      </c>
      <c r="H17">
        <v>1.1000000000000001</v>
      </c>
      <c r="I17">
        <v>3.1</v>
      </c>
      <c r="J17">
        <v>5.8</v>
      </c>
      <c r="K17">
        <v>1.5</v>
      </c>
      <c r="L17">
        <v>0.9</v>
      </c>
      <c r="M17">
        <v>3.2</v>
      </c>
      <c r="N17">
        <v>4.4000000000000004</v>
      </c>
      <c r="O17">
        <v>5.4</v>
      </c>
      <c r="P17">
        <v>5.9</v>
      </c>
      <c r="Q17">
        <v>4</v>
      </c>
      <c r="R17">
        <v>10799.6</v>
      </c>
      <c r="S17">
        <v>143.19999999999999</v>
      </c>
      <c r="T17">
        <v>151.30000000000001</v>
      </c>
      <c r="U17">
        <v>21.1</v>
      </c>
      <c r="V17">
        <v>2.6</v>
      </c>
      <c r="W17">
        <v>2.2999999999999998</v>
      </c>
      <c r="X17">
        <v>1.26</v>
      </c>
      <c r="Y17">
        <v>12.8</v>
      </c>
      <c r="Z17">
        <v>5.5</v>
      </c>
      <c r="AA17">
        <v>103.4</v>
      </c>
      <c r="AB17">
        <v>4.0999999999999996</v>
      </c>
      <c r="AC17">
        <v>-0.7</v>
      </c>
      <c r="AD17">
        <v>107.1</v>
      </c>
      <c r="AE17">
        <v>3.2</v>
      </c>
      <c r="AF17">
        <v>1.7</v>
      </c>
      <c r="AG17">
        <v>1.784</v>
      </c>
    </row>
    <row r="18" spans="1:33" x14ac:dyDescent="0.2">
      <c r="A18" t="s">
        <v>31</v>
      </c>
      <c r="B18" t="s">
        <v>48</v>
      </c>
      <c r="C18" s="5">
        <f t="shared" si="0"/>
        <v>2.6099999999999898E-2</v>
      </c>
      <c r="D18" s="2">
        <f t="shared" si="1"/>
        <v>-3.6193733146385099</v>
      </c>
      <c r="E18" s="4">
        <v>2.6099999999999901E-2</v>
      </c>
      <c r="F18">
        <v>2.2999999999999998</v>
      </c>
      <c r="G18">
        <v>5.2</v>
      </c>
      <c r="H18">
        <v>1.8</v>
      </c>
      <c r="I18">
        <v>5</v>
      </c>
      <c r="J18">
        <v>5.7</v>
      </c>
      <c r="K18">
        <v>3.4</v>
      </c>
      <c r="L18">
        <v>0.9</v>
      </c>
      <c r="M18">
        <v>3</v>
      </c>
      <c r="N18">
        <v>4.0999999999999996</v>
      </c>
      <c r="O18">
        <v>5</v>
      </c>
      <c r="P18">
        <v>5.6</v>
      </c>
      <c r="Q18">
        <v>4</v>
      </c>
      <c r="R18">
        <v>11039.4</v>
      </c>
      <c r="S18">
        <v>148.1</v>
      </c>
      <c r="T18">
        <v>160.80000000000001</v>
      </c>
      <c r="U18">
        <v>21.6</v>
      </c>
      <c r="V18">
        <v>2.1</v>
      </c>
      <c r="W18">
        <v>2.2000000000000002</v>
      </c>
      <c r="X18">
        <v>1.2290000000000001</v>
      </c>
      <c r="Y18">
        <v>5.9</v>
      </c>
      <c r="Z18">
        <v>4</v>
      </c>
      <c r="AA18">
        <v>101.4</v>
      </c>
      <c r="AB18">
        <v>3.5</v>
      </c>
      <c r="AC18">
        <v>0.6</v>
      </c>
      <c r="AD18">
        <v>104.2</v>
      </c>
      <c r="AE18">
        <v>1.3</v>
      </c>
      <c r="AF18">
        <v>1.4</v>
      </c>
      <c r="AG18">
        <v>1.84</v>
      </c>
    </row>
    <row r="19" spans="1:33" x14ac:dyDescent="0.2">
      <c r="A19" t="s">
        <v>31</v>
      </c>
      <c r="B19" t="s">
        <v>49</v>
      </c>
      <c r="C19" s="5">
        <f t="shared" si="0"/>
        <v>2.3E-2</v>
      </c>
      <c r="D19" s="2">
        <f t="shared" si="1"/>
        <v>-3.7489924361136331</v>
      </c>
      <c r="E19" s="4">
        <v>2.3E-2</v>
      </c>
      <c r="F19">
        <v>3.1</v>
      </c>
      <c r="G19">
        <v>6.5</v>
      </c>
      <c r="H19">
        <v>4.2</v>
      </c>
      <c r="I19">
        <v>7</v>
      </c>
      <c r="J19">
        <v>5.6</v>
      </c>
      <c r="K19">
        <v>3.2</v>
      </c>
      <c r="L19">
        <v>1.1000000000000001</v>
      </c>
      <c r="M19">
        <v>3.7</v>
      </c>
      <c r="N19">
        <v>4.7</v>
      </c>
      <c r="O19">
        <v>5.7</v>
      </c>
      <c r="P19">
        <v>6.1</v>
      </c>
      <c r="Q19">
        <v>4</v>
      </c>
      <c r="R19">
        <v>11144.6</v>
      </c>
      <c r="S19">
        <v>153.9</v>
      </c>
      <c r="T19">
        <v>169.1</v>
      </c>
      <c r="U19">
        <v>20</v>
      </c>
      <c r="V19">
        <v>2.5</v>
      </c>
      <c r="W19">
        <v>2.6</v>
      </c>
      <c r="X19">
        <v>1.218</v>
      </c>
      <c r="Y19">
        <v>7.2</v>
      </c>
      <c r="Z19">
        <v>4.0999999999999996</v>
      </c>
      <c r="AA19">
        <v>102.8</v>
      </c>
      <c r="AB19">
        <v>-0.3</v>
      </c>
      <c r="AC19">
        <v>-0.3</v>
      </c>
      <c r="AD19">
        <v>109.4</v>
      </c>
      <c r="AE19">
        <v>1.9</v>
      </c>
      <c r="AF19">
        <v>0.8</v>
      </c>
      <c r="AG19">
        <v>1.8129999999999999</v>
      </c>
    </row>
    <row r="20" spans="1:33" x14ac:dyDescent="0.2">
      <c r="A20" t="s">
        <v>31</v>
      </c>
      <c r="B20" t="s">
        <v>50</v>
      </c>
      <c r="C20" s="5">
        <f t="shared" si="0"/>
        <v>1.9900000000000001E-2</v>
      </c>
      <c r="D20" s="2">
        <f t="shared" si="1"/>
        <v>-3.8969348755446873</v>
      </c>
      <c r="E20" s="4">
        <v>1.9900000000000001E-2</v>
      </c>
      <c r="F20">
        <v>3.8</v>
      </c>
      <c r="G20">
        <v>6.5</v>
      </c>
      <c r="H20">
        <v>2.6</v>
      </c>
      <c r="I20">
        <v>4.5999999999999996</v>
      </c>
      <c r="J20">
        <v>5.4</v>
      </c>
      <c r="K20">
        <v>2.6</v>
      </c>
      <c r="L20">
        <v>1.5</v>
      </c>
      <c r="M20">
        <v>3.5</v>
      </c>
      <c r="N20">
        <v>4.4000000000000004</v>
      </c>
      <c r="O20">
        <v>5.4</v>
      </c>
      <c r="P20">
        <v>5.9</v>
      </c>
      <c r="Q20">
        <v>4.4000000000000004</v>
      </c>
      <c r="R20">
        <v>10893.8</v>
      </c>
      <c r="S20">
        <v>159.19999999999999</v>
      </c>
      <c r="T20">
        <v>179.1</v>
      </c>
      <c r="U20">
        <v>19.3</v>
      </c>
      <c r="V20">
        <v>0.9</v>
      </c>
      <c r="W20">
        <v>2</v>
      </c>
      <c r="X20">
        <v>1.242</v>
      </c>
      <c r="Y20">
        <v>8</v>
      </c>
      <c r="Z20">
        <v>4.0999999999999996</v>
      </c>
      <c r="AA20">
        <v>102.7</v>
      </c>
      <c r="AB20">
        <v>2.2000000000000002</v>
      </c>
      <c r="AC20">
        <v>-0.1</v>
      </c>
      <c r="AD20">
        <v>110.2</v>
      </c>
      <c r="AE20">
        <v>1.4</v>
      </c>
      <c r="AF20">
        <v>1.1000000000000001</v>
      </c>
      <c r="AG20">
        <v>1.8089999999999999</v>
      </c>
    </row>
    <row r="21" spans="1:33" x14ac:dyDescent="0.2">
      <c r="A21" t="s">
        <v>31</v>
      </c>
      <c r="B21" t="s">
        <v>51</v>
      </c>
      <c r="C21" s="5">
        <f t="shared" si="0"/>
        <v>1.7399999999999995E-2</v>
      </c>
      <c r="D21" s="2">
        <f t="shared" si="1"/>
        <v>-4.0337319135140648</v>
      </c>
      <c r="E21" s="4">
        <v>1.7399999999999999E-2</v>
      </c>
      <c r="F21">
        <v>4.0999999999999996</v>
      </c>
      <c r="G21">
        <v>7.4</v>
      </c>
      <c r="H21">
        <v>4.7</v>
      </c>
      <c r="I21">
        <v>8.4</v>
      </c>
      <c r="J21">
        <v>5.4</v>
      </c>
      <c r="K21">
        <v>4.4000000000000004</v>
      </c>
      <c r="L21">
        <v>2</v>
      </c>
      <c r="M21">
        <v>3.5</v>
      </c>
      <c r="N21">
        <v>4.3</v>
      </c>
      <c r="O21">
        <v>5.0999999999999996</v>
      </c>
      <c r="P21">
        <v>5.7</v>
      </c>
      <c r="Q21">
        <v>4.9000000000000004</v>
      </c>
      <c r="R21">
        <v>11951.5</v>
      </c>
      <c r="S21">
        <v>165.2</v>
      </c>
      <c r="T21">
        <v>179.2</v>
      </c>
      <c r="U21">
        <v>16.600000000000001</v>
      </c>
      <c r="V21">
        <v>1.8</v>
      </c>
      <c r="W21">
        <v>2.4</v>
      </c>
      <c r="X21">
        <v>1.3540000000000001</v>
      </c>
      <c r="Y21">
        <v>6.4</v>
      </c>
      <c r="Z21">
        <v>0.8</v>
      </c>
      <c r="AA21">
        <v>98.8</v>
      </c>
      <c r="AB21">
        <v>-1.5</v>
      </c>
      <c r="AC21">
        <v>2</v>
      </c>
      <c r="AD21">
        <v>102.7</v>
      </c>
      <c r="AE21">
        <v>1.8</v>
      </c>
      <c r="AF21">
        <v>2.4</v>
      </c>
      <c r="AG21">
        <v>1.9159999999999999</v>
      </c>
    </row>
    <row r="22" spans="1:33" x14ac:dyDescent="0.2">
      <c r="A22" t="s">
        <v>31</v>
      </c>
      <c r="B22" t="s">
        <v>52</v>
      </c>
      <c r="C22" s="5">
        <f t="shared" si="0"/>
        <v>1.5099999999999995E-2</v>
      </c>
      <c r="D22" s="2">
        <f t="shared" si="1"/>
        <v>-4.1778453693547783</v>
      </c>
      <c r="E22" s="4">
        <v>1.5100000000000001E-2</v>
      </c>
      <c r="F22">
        <v>4.5</v>
      </c>
      <c r="G22">
        <v>7.9</v>
      </c>
      <c r="H22">
        <v>-5.3</v>
      </c>
      <c r="I22">
        <v>-3.1</v>
      </c>
      <c r="J22">
        <v>5.3</v>
      </c>
      <c r="K22">
        <v>2</v>
      </c>
      <c r="L22">
        <v>2.5</v>
      </c>
      <c r="M22">
        <v>3.9</v>
      </c>
      <c r="N22">
        <v>4.4000000000000004</v>
      </c>
      <c r="O22">
        <v>5.2</v>
      </c>
      <c r="P22">
        <v>5.8</v>
      </c>
      <c r="Q22">
        <v>5.4</v>
      </c>
      <c r="R22">
        <v>11637.3</v>
      </c>
      <c r="S22">
        <v>172</v>
      </c>
      <c r="T22">
        <v>186.3</v>
      </c>
      <c r="U22">
        <v>14.7</v>
      </c>
      <c r="V22">
        <v>1.1000000000000001</v>
      </c>
      <c r="W22">
        <v>1.4</v>
      </c>
      <c r="X22">
        <v>1.2969999999999999</v>
      </c>
      <c r="Y22">
        <v>10.9</v>
      </c>
      <c r="Z22">
        <v>2.9</v>
      </c>
      <c r="AA22">
        <v>98.5</v>
      </c>
      <c r="AB22">
        <v>2.5</v>
      </c>
      <c r="AC22">
        <v>-1.2</v>
      </c>
      <c r="AD22">
        <v>107.2</v>
      </c>
      <c r="AE22">
        <v>3.1</v>
      </c>
      <c r="AF22">
        <v>2.6</v>
      </c>
      <c r="AG22">
        <v>1.889</v>
      </c>
    </row>
    <row r="23" spans="1:33" x14ac:dyDescent="0.2">
      <c r="A23" t="s">
        <v>31</v>
      </c>
      <c r="B23" t="s">
        <v>53</v>
      </c>
      <c r="C23" s="5">
        <f t="shared" si="0"/>
        <v>1.35E-2</v>
      </c>
      <c r="D23" s="2">
        <f t="shared" si="1"/>
        <v>-4.2914736400182862</v>
      </c>
      <c r="E23" s="4">
        <v>1.35E-2</v>
      </c>
      <c r="F23">
        <v>2</v>
      </c>
      <c r="G23">
        <v>5</v>
      </c>
      <c r="H23">
        <v>3.7</v>
      </c>
      <c r="I23">
        <v>6.4</v>
      </c>
      <c r="J23">
        <v>5.0999999999999996</v>
      </c>
      <c r="K23">
        <v>2.7</v>
      </c>
      <c r="L23">
        <v>2.9</v>
      </c>
      <c r="M23">
        <v>3.9</v>
      </c>
      <c r="N23">
        <v>4.2</v>
      </c>
      <c r="O23">
        <v>5.4</v>
      </c>
      <c r="P23">
        <v>5.7</v>
      </c>
      <c r="Q23">
        <v>5.9</v>
      </c>
      <c r="R23">
        <v>11856.7</v>
      </c>
      <c r="S23">
        <v>178.8</v>
      </c>
      <c r="T23">
        <v>189.6</v>
      </c>
      <c r="U23">
        <v>17.7</v>
      </c>
      <c r="V23">
        <v>2.5</v>
      </c>
      <c r="W23">
        <v>2.2000000000000002</v>
      </c>
      <c r="X23">
        <v>1.21</v>
      </c>
      <c r="Y23">
        <v>8.5</v>
      </c>
      <c r="Z23">
        <v>1.5</v>
      </c>
      <c r="AA23">
        <v>98.9</v>
      </c>
      <c r="AB23">
        <v>3.9</v>
      </c>
      <c r="AC23">
        <v>-1</v>
      </c>
      <c r="AD23">
        <v>110.9</v>
      </c>
      <c r="AE23">
        <v>3.4</v>
      </c>
      <c r="AF23">
        <v>1.8</v>
      </c>
      <c r="AG23">
        <v>1.7929999999999999</v>
      </c>
    </row>
    <row r="24" spans="1:33" x14ac:dyDescent="0.2">
      <c r="A24" t="s">
        <v>31</v>
      </c>
      <c r="B24" t="s">
        <v>54</v>
      </c>
      <c r="C24" s="5">
        <f t="shared" si="0"/>
        <v>1.3199999999999993E-2</v>
      </c>
      <c r="D24" s="2">
        <f t="shared" si="1"/>
        <v>-4.3142505550628769</v>
      </c>
      <c r="E24" s="4">
        <v>1.32E-2</v>
      </c>
      <c r="F24">
        <v>3.2</v>
      </c>
      <c r="G24">
        <v>7</v>
      </c>
      <c r="H24">
        <v>1.5</v>
      </c>
      <c r="I24">
        <v>5.9</v>
      </c>
      <c r="J24">
        <v>5</v>
      </c>
      <c r="K24">
        <v>6.2</v>
      </c>
      <c r="L24">
        <v>3.4</v>
      </c>
      <c r="M24">
        <v>4</v>
      </c>
      <c r="N24">
        <v>4.3</v>
      </c>
      <c r="O24">
        <v>5.4</v>
      </c>
      <c r="P24">
        <v>5.8</v>
      </c>
      <c r="Q24">
        <v>6.4</v>
      </c>
      <c r="R24">
        <v>12282.9</v>
      </c>
      <c r="S24">
        <v>185</v>
      </c>
      <c r="T24">
        <v>198</v>
      </c>
      <c r="U24">
        <v>14.2</v>
      </c>
      <c r="V24">
        <v>3</v>
      </c>
      <c r="W24">
        <v>3.1</v>
      </c>
      <c r="X24">
        <v>1.206</v>
      </c>
      <c r="Y24">
        <v>9.3000000000000007</v>
      </c>
      <c r="Z24">
        <v>2.4</v>
      </c>
      <c r="AA24">
        <v>98.5</v>
      </c>
      <c r="AB24">
        <v>3.7</v>
      </c>
      <c r="AC24">
        <v>-1.1000000000000001</v>
      </c>
      <c r="AD24">
        <v>113.3</v>
      </c>
      <c r="AE24">
        <v>3.7</v>
      </c>
      <c r="AF24">
        <v>2.8</v>
      </c>
      <c r="AG24">
        <v>1.77</v>
      </c>
    </row>
    <row r="25" spans="1:33" x14ac:dyDescent="0.2">
      <c r="A25" t="s">
        <v>31</v>
      </c>
      <c r="B25" t="s">
        <v>55</v>
      </c>
      <c r="C25" s="5">
        <f t="shared" si="0"/>
        <v>1.3099999999999999E-2</v>
      </c>
      <c r="D25" s="2">
        <f t="shared" si="1"/>
        <v>-4.3219564869708558</v>
      </c>
      <c r="E25" s="4">
        <v>1.3100000000000001E-2</v>
      </c>
      <c r="F25">
        <v>2.2000000000000002</v>
      </c>
      <c r="G25">
        <v>5.6</v>
      </c>
      <c r="H25">
        <v>3.6</v>
      </c>
      <c r="I25">
        <v>7</v>
      </c>
      <c r="J25">
        <v>5</v>
      </c>
      <c r="K25">
        <v>3.8</v>
      </c>
      <c r="L25">
        <v>3.8</v>
      </c>
      <c r="M25">
        <v>4.4000000000000004</v>
      </c>
      <c r="N25">
        <v>4.5999999999999996</v>
      </c>
      <c r="O25">
        <v>5.8</v>
      </c>
      <c r="P25">
        <v>6.2</v>
      </c>
      <c r="Q25">
        <v>7</v>
      </c>
      <c r="R25">
        <v>12497.2</v>
      </c>
      <c r="S25">
        <v>190.1</v>
      </c>
      <c r="T25">
        <v>203.6</v>
      </c>
      <c r="U25">
        <v>16.5</v>
      </c>
      <c r="V25">
        <v>2.8</v>
      </c>
      <c r="W25">
        <v>2.5</v>
      </c>
      <c r="X25">
        <v>1.1839999999999999</v>
      </c>
      <c r="Y25">
        <v>11.5</v>
      </c>
      <c r="Z25">
        <v>1.6</v>
      </c>
      <c r="AA25">
        <v>98</v>
      </c>
      <c r="AB25">
        <v>1.1000000000000001</v>
      </c>
      <c r="AC25">
        <v>0.4</v>
      </c>
      <c r="AD25">
        <v>117.9</v>
      </c>
      <c r="AE25">
        <v>4.3</v>
      </c>
      <c r="AF25">
        <v>1.4</v>
      </c>
      <c r="AG25">
        <v>1.7190000000000001</v>
      </c>
    </row>
    <row r="26" spans="1:33" x14ac:dyDescent="0.2">
      <c r="A26" t="s">
        <v>31</v>
      </c>
      <c r="B26" t="s">
        <v>56</v>
      </c>
      <c r="C26" s="5">
        <f t="shared" si="0"/>
        <v>1.2500000000000001E-2</v>
      </c>
      <c r="D26" s="2">
        <f t="shared" si="1"/>
        <v>-4.3694478524670215</v>
      </c>
      <c r="E26" s="4">
        <v>1.2500000000000001E-2</v>
      </c>
      <c r="F26">
        <v>5.5</v>
      </c>
      <c r="G26">
        <v>8.5</v>
      </c>
      <c r="H26">
        <v>7.6</v>
      </c>
      <c r="I26">
        <v>9.9</v>
      </c>
      <c r="J26">
        <v>4.7</v>
      </c>
      <c r="K26">
        <v>2.1</v>
      </c>
      <c r="L26">
        <v>4.4000000000000004</v>
      </c>
      <c r="M26">
        <v>4.5999999999999996</v>
      </c>
      <c r="N26">
        <v>4.7</v>
      </c>
      <c r="O26">
        <v>5.8</v>
      </c>
      <c r="P26">
        <v>6.2</v>
      </c>
      <c r="Q26">
        <v>7.4</v>
      </c>
      <c r="R26">
        <v>13121.6</v>
      </c>
      <c r="S26">
        <v>193.6</v>
      </c>
      <c r="T26">
        <v>210.2</v>
      </c>
      <c r="U26">
        <v>14.6</v>
      </c>
      <c r="V26">
        <v>3.8</v>
      </c>
      <c r="W26">
        <v>1.7</v>
      </c>
      <c r="X26">
        <v>1.214</v>
      </c>
      <c r="Y26">
        <v>10.9</v>
      </c>
      <c r="Z26">
        <v>2.4</v>
      </c>
      <c r="AA26">
        <v>96.6</v>
      </c>
      <c r="AB26">
        <v>0.3</v>
      </c>
      <c r="AC26">
        <v>1.1000000000000001</v>
      </c>
      <c r="AD26">
        <v>117.5</v>
      </c>
      <c r="AE26">
        <v>1.4</v>
      </c>
      <c r="AF26">
        <v>1.9</v>
      </c>
      <c r="AG26">
        <v>1.7390000000000001</v>
      </c>
    </row>
    <row r="27" spans="1:33" x14ac:dyDescent="0.2">
      <c r="A27" t="s">
        <v>31</v>
      </c>
      <c r="B27" t="s">
        <v>57</v>
      </c>
      <c r="C27" s="5">
        <f t="shared" si="0"/>
        <v>1.1399999999999898E-2</v>
      </c>
      <c r="D27" s="2">
        <f t="shared" si="1"/>
        <v>-4.4626764454724182</v>
      </c>
      <c r="E27" s="4">
        <v>1.13999999999999E-2</v>
      </c>
      <c r="F27">
        <v>1</v>
      </c>
      <c r="G27">
        <v>4.5999999999999996</v>
      </c>
      <c r="H27">
        <v>1.5</v>
      </c>
      <c r="I27">
        <v>5.0999999999999996</v>
      </c>
      <c r="J27">
        <v>4.5999999999999996</v>
      </c>
      <c r="K27">
        <v>3.7</v>
      </c>
      <c r="L27">
        <v>4.7</v>
      </c>
      <c r="M27">
        <v>5</v>
      </c>
      <c r="N27">
        <v>5.2</v>
      </c>
      <c r="O27">
        <v>6.3</v>
      </c>
      <c r="P27">
        <v>6.6</v>
      </c>
      <c r="Q27">
        <v>7.9</v>
      </c>
      <c r="R27">
        <v>12808.9</v>
      </c>
      <c r="S27">
        <v>192.3</v>
      </c>
      <c r="T27">
        <v>219.3</v>
      </c>
      <c r="U27">
        <v>23.8</v>
      </c>
      <c r="V27">
        <v>4.5</v>
      </c>
      <c r="W27">
        <v>2.5</v>
      </c>
      <c r="X27">
        <v>1.278</v>
      </c>
      <c r="Y27">
        <v>7</v>
      </c>
      <c r="Z27">
        <v>3.2</v>
      </c>
      <c r="AA27">
        <v>96.5</v>
      </c>
      <c r="AB27">
        <v>1.1000000000000001</v>
      </c>
      <c r="AC27">
        <v>0.4</v>
      </c>
      <c r="AD27">
        <v>114.5</v>
      </c>
      <c r="AE27">
        <v>1.1000000000000001</v>
      </c>
      <c r="AF27">
        <v>3</v>
      </c>
      <c r="AG27">
        <v>1.849</v>
      </c>
    </row>
    <row r="28" spans="1:33" x14ac:dyDescent="0.2">
      <c r="A28" t="s">
        <v>31</v>
      </c>
      <c r="B28" t="s">
        <v>58</v>
      </c>
      <c r="C28" s="5">
        <f t="shared" si="0"/>
        <v>1.0900000000000002E-2</v>
      </c>
      <c r="D28" s="2">
        <f t="shared" si="1"/>
        <v>-4.5080326495106968</v>
      </c>
      <c r="E28" s="4">
        <v>1.09E-2</v>
      </c>
      <c r="F28">
        <v>0.6</v>
      </c>
      <c r="G28">
        <v>3.4</v>
      </c>
      <c r="H28">
        <v>0.6</v>
      </c>
      <c r="I28">
        <v>3.5</v>
      </c>
      <c r="J28">
        <v>4.5999999999999996</v>
      </c>
      <c r="K28">
        <v>3.8</v>
      </c>
      <c r="L28">
        <v>4.9000000000000004</v>
      </c>
      <c r="M28">
        <v>4.8</v>
      </c>
      <c r="N28">
        <v>5</v>
      </c>
      <c r="O28">
        <v>6.3</v>
      </c>
      <c r="P28">
        <v>6.6</v>
      </c>
      <c r="Q28">
        <v>8.3000000000000007</v>
      </c>
      <c r="R28">
        <v>13322.5</v>
      </c>
      <c r="S28">
        <v>190.8</v>
      </c>
      <c r="T28">
        <v>224.8</v>
      </c>
      <c r="U28">
        <v>18.600000000000001</v>
      </c>
      <c r="V28">
        <v>2.2000000000000002</v>
      </c>
      <c r="W28">
        <v>2</v>
      </c>
      <c r="X28">
        <v>1.2689999999999999</v>
      </c>
      <c r="Y28">
        <v>10.3</v>
      </c>
      <c r="Z28">
        <v>2.2000000000000002</v>
      </c>
      <c r="AA28">
        <v>96.2</v>
      </c>
      <c r="AB28">
        <v>-0.1</v>
      </c>
      <c r="AC28">
        <v>0.4</v>
      </c>
      <c r="AD28">
        <v>118</v>
      </c>
      <c r="AE28">
        <v>0.6</v>
      </c>
      <c r="AF28">
        <v>3.3</v>
      </c>
      <c r="AG28">
        <v>1.8720000000000001</v>
      </c>
    </row>
    <row r="29" spans="1:33" x14ac:dyDescent="0.2">
      <c r="A29" t="s">
        <v>31</v>
      </c>
      <c r="B29" t="s">
        <v>59</v>
      </c>
      <c r="C29" s="5">
        <f t="shared" si="0"/>
        <v>9.8000000000000014E-3</v>
      </c>
      <c r="D29" s="2">
        <f t="shared" si="1"/>
        <v>-4.6155245572507964</v>
      </c>
      <c r="E29" s="4">
        <v>9.7999999999999997E-3</v>
      </c>
      <c r="F29">
        <v>3.5</v>
      </c>
      <c r="G29">
        <v>5</v>
      </c>
      <c r="H29">
        <v>5</v>
      </c>
      <c r="I29">
        <v>4.3</v>
      </c>
      <c r="J29">
        <v>4.4000000000000004</v>
      </c>
      <c r="K29">
        <v>-1.6</v>
      </c>
      <c r="L29">
        <v>4.9000000000000004</v>
      </c>
      <c r="M29">
        <v>4.5999999999999996</v>
      </c>
      <c r="N29">
        <v>4.7</v>
      </c>
      <c r="O29">
        <v>6</v>
      </c>
      <c r="P29">
        <v>6.2</v>
      </c>
      <c r="Q29">
        <v>8.3000000000000007</v>
      </c>
      <c r="R29">
        <v>14215.8</v>
      </c>
      <c r="S29">
        <v>190.8</v>
      </c>
      <c r="T29">
        <v>231.5</v>
      </c>
      <c r="U29">
        <v>12.7</v>
      </c>
      <c r="V29">
        <v>4.8</v>
      </c>
      <c r="W29">
        <v>0.9</v>
      </c>
      <c r="X29">
        <v>1.32</v>
      </c>
      <c r="Y29">
        <v>11.2</v>
      </c>
      <c r="Z29">
        <v>3.6</v>
      </c>
      <c r="AA29">
        <v>94.4</v>
      </c>
      <c r="AB29">
        <v>5.5</v>
      </c>
      <c r="AC29">
        <v>-0.6</v>
      </c>
      <c r="AD29">
        <v>119</v>
      </c>
      <c r="AE29">
        <v>1.4</v>
      </c>
      <c r="AF29">
        <v>2.6</v>
      </c>
      <c r="AG29">
        <v>1.9590000000000001</v>
      </c>
    </row>
    <row r="30" spans="1:33" x14ac:dyDescent="0.2">
      <c r="A30" t="s">
        <v>31</v>
      </c>
      <c r="B30" t="s">
        <v>60</v>
      </c>
      <c r="C30" s="5">
        <f t="shared" si="0"/>
        <v>1.0199999999999999E-2</v>
      </c>
      <c r="D30" s="2">
        <f t="shared" si="1"/>
        <v>-4.5751151822275604</v>
      </c>
      <c r="E30" s="4">
        <v>1.0200000000000001E-2</v>
      </c>
      <c r="F30">
        <v>1.2</v>
      </c>
      <c r="G30">
        <v>5.0999999999999996</v>
      </c>
      <c r="H30">
        <v>3.1</v>
      </c>
      <c r="I30">
        <v>6.9</v>
      </c>
      <c r="J30">
        <v>4.5</v>
      </c>
      <c r="K30">
        <v>4</v>
      </c>
      <c r="L30">
        <v>5</v>
      </c>
      <c r="M30">
        <v>4.5999999999999996</v>
      </c>
      <c r="N30">
        <v>4.8</v>
      </c>
      <c r="O30">
        <v>6</v>
      </c>
      <c r="P30">
        <v>6.2</v>
      </c>
      <c r="Q30">
        <v>8.3000000000000007</v>
      </c>
      <c r="R30">
        <v>14354</v>
      </c>
      <c r="S30">
        <v>188.9</v>
      </c>
      <c r="T30">
        <v>237.8</v>
      </c>
      <c r="U30">
        <v>19.600000000000001</v>
      </c>
      <c r="V30">
        <v>2.8</v>
      </c>
      <c r="W30">
        <v>2.2999999999999998</v>
      </c>
      <c r="X30">
        <v>1.337</v>
      </c>
      <c r="Y30">
        <v>13.6</v>
      </c>
      <c r="Z30">
        <v>3.6</v>
      </c>
      <c r="AA30">
        <v>93.8</v>
      </c>
      <c r="AB30">
        <v>2.9</v>
      </c>
      <c r="AC30">
        <v>-0.7</v>
      </c>
      <c r="AD30">
        <v>117.6</v>
      </c>
      <c r="AE30">
        <v>4.5</v>
      </c>
      <c r="AF30">
        <v>2.5</v>
      </c>
      <c r="AG30">
        <v>1.9690000000000001</v>
      </c>
    </row>
    <row r="31" spans="1:33" x14ac:dyDescent="0.2">
      <c r="A31" t="s">
        <v>31</v>
      </c>
      <c r="B31" t="s">
        <v>61</v>
      </c>
      <c r="C31" s="5">
        <f t="shared" si="0"/>
        <v>1.0199999999999999E-2</v>
      </c>
      <c r="D31" s="2">
        <f t="shared" si="1"/>
        <v>-4.5751151822275604</v>
      </c>
      <c r="E31" s="4">
        <v>1.0200000000000001E-2</v>
      </c>
      <c r="F31">
        <v>2.5</v>
      </c>
      <c r="G31">
        <v>5.3</v>
      </c>
      <c r="H31">
        <v>2</v>
      </c>
      <c r="I31">
        <v>5.5</v>
      </c>
      <c r="J31">
        <v>4.5</v>
      </c>
      <c r="K31">
        <v>4.5999999999999996</v>
      </c>
      <c r="L31">
        <v>4.7</v>
      </c>
      <c r="M31">
        <v>4.7</v>
      </c>
      <c r="N31">
        <v>4.9000000000000004</v>
      </c>
      <c r="O31">
        <v>6.2</v>
      </c>
      <c r="P31">
        <v>6.4</v>
      </c>
      <c r="Q31">
        <v>8.3000000000000007</v>
      </c>
      <c r="R31">
        <v>15163.1</v>
      </c>
      <c r="S31">
        <v>183.3</v>
      </c>
      <c r="T31">
        <v>246.4</v>
      </c>
      <c r="U31">
        <v>18.899999999999999</v>
      </c>
      <c r="V31">
        <v>2.7</v>
      </c>
      <c r="W31">
        <v>2.2999999999999998</v>
      </c>
      <c r="X31">
        <v>1.3520000000000001</v>
      </c>
      <c r="Y31">
        <v>10.6</v>
      </c>
      <c r="Z31">
        <v>4.9000000000000004</v>
      </c>
      <c r="AA31">
        <v>91.8</v>
      </c>
      <c r="AB31">
        <v>0.6</v>
      </c>
      <c r="AC31">
        <v>0.4</v>
      </c>
      <c r="AD31">
        <v>123.4</v>
      </c>
      <c r="AE31">
        <v>3.8</v>
      </c>
      <c r="AF31">
        <v>1.8</v>
      </c>
      <c r="AG31">
        <v>2.0059999999999998</v>
      </c>
    </row>
    <row r="32" spans="1:33" x14ac:dyDescent="0.2">
      <c r="A32" t="s">
        <v>31</v>
      </c>
      <c r="B32" t="s">
        <v>62</v>
      </c>
      <c r="C32" s="5">
        <f t="shared" si="0"/>
        <v>1.04E-2</v>
      </c>
      <c r="D32" s="2">
        <f t="shared" si="1"/>
        <v>-4.5554950149309512</v>
      </c>
      <c r="E32" s="4">
        <v>1.04E-2</v>
      </c>
      <c r="F32">
        <v>2.2999999999999998</v>
      </c>
      <c r="G32">
        <v>4.5999999999999996</v>
      </c>
      <c r="H32">
        <v>0.7</v>
      </c>
      <c r="I32">
        <v>3</v>
      </c>
      <c r="J32">
        <v>4.7</v>
      </c>
      <c r="K32">
        <v>2.6</v>
      </c>
      <c r="L32">
        <v>4.3</v>
      </c>
      <c r="M32">
        <v>4.5</v>
      </c>
      <c r="N32">
        <v>4.8</v>
      </c>
      <c r="O32">
        <v>6.5</v>
      </c>
      <c r="P32">
        <v>6.6</v>
      </c>
      <c r="Q32">
        <v>8.1999999999999993</v>
      </c>
      <c r="R32">
        <v>15317.8</v>
      </c>
      <c r="S32">
        <v>178.3</v>
      </c>
      <c r="T32">
        <v>251.4</v>
      </c>
      <c r="U32">
        <v>30.8</v>
      </c>
      <c r="V32">
        <v>1.6</v>
      </c>
      <c r="W32">
        <v>2.1</v>
      </c>
      <c r="X32">
        <v>1.4219999999999999</v>
      </c>
      <c r="Y32">
        <v>8.8000000000000007</v>
      </c>
      <c r="Z32">
        <v>7.6</v>
      </c>
      <c r="AA32">
        <v>90.5</v>
      </c>
      <c r="AB32">
        <v>-2.6</v>
      </c>
      <c r="AC32">
        <v>0.3</v>
      </c>
      <c r="AD32">
        <v>115</v>
      </c>
      <c r="AE32">
        <v>3.8</v>
      </c>
      <c r="AF32">
        <v>0.3</v>
      </c>
      <c r="AG32">
        <v>2.0390000000000001</v>
      </c>
    </row>
    <row r="33" spans="1:33" x14ac:dyDescent="0.2">
      <c r="A33" t="s">
        <v>31</v>
      </c>
      <c r="B33" t="s">
        <v>63</v>
      </c>
      <c r="C33" s="5">
        <f t="shared" si="0"/>
        <v>1.1300000000000004E-2</v>
      </c>
      <c r="D33" s="2">
        <f t="shared" si="1"/>
        <v>-4.4715882231847921</v>
      </c>
      <c r="E33" s="4">
        <v>1.1299999999999999E-2</v>
      </c>
      <c r="F33">
        <v>2.5</v>
      </c>
      <c r="G33">
        <v>4.2</v>
      </c>
      <c r="H33">
        <v>0.5</v>
      </c>
      <c r="I33">
        <v>4.5999999999999996</v>
      </c>
      <c r="J33">
        <v>4.8</v>
      </c>
      <c r="K33">
        <v>5</v>
      </c>
      <c r="L33">
        <v>3.4</v>
      </c>
      <c r="M33">
        <v>3.8</v>
      </c>
      <c r="N33">
        <v>4.4000000000000004</v>
      </c>
      <c r="O33">
        <v>6.3</v>
      </c>
      <c r="P33">
        <v>6.2</v>
      </c>
      <c r="Q33">
        <v>7.5</v>
      </c>
      <c r="R33">
        <v>14753.6</v>
      </c>
      <c r="S33">
        <v>172.6</v>
      </c>
      <c r="T33">
        <v>249.3</v>
      </c>
      <c r="U33">
        <v>31.1</v>
      </c>
      <c r="V33">
        <v>2</v>
      </c>
      <c r="W33">
        <v>4.9000000000000004</v>
      </c>
      <c r="X33">
        <v>1.46</v>
      </c>
      <c r="Y33">
        <v>12.9</v>
      </c>
      <c r="Z33">
        <v>5.9</v>
      </c>
      <c r="AA33">
        <v>89.3</v>
      </c>
      <c r="AB33">
        <v>2.2999999999999998</v>
      </c>
      <c r="AC33">
        <v>2</v>
      </c>
      <c r="AD33">
        <v>111.7</v>
      </c>
      <c r="AE33">
        <v>3.4</v>
      </c>
      <c r="AF33">
        <v>4</v>
      </c>
      <c r="AG33">
        <v>1.984</v>
      </c>
    </row>
    <row r="34" spans="1:33" x14ac:dyDescent="0.2">
      <c r="A34" t="s">
        <v>31</v>
      </c>
      <c r="B34" t="s">
        <v>64</v>
      </c>
      <c r="C34" s="5">
        <f t="shared" si="0"/>
        <v>1.2800000000000001E-2</v>
      </c>
      <c r="D34" s="2">
        <f t="shared" si="1"/>
        <v>-4.3454274822255519</v>
      </c>
      <c r="E34" s="4">
        <v>1.2800000000000001E-2</v>
      </c>
      <c r="F34">
        <v>-1.7</v>
      </c>
      <c r="G34">
        <v>-0.2</v>
      </c>
      <c r="H34">
        <v>1.7</v>
      </c>
      <c r="I34">
        <v>5.0999999999999996</v>
      </c>
      <c r="J34">
        <v>5</v>
      </c>
      <c r="K34">
        <v>4.4000000000000004</v>
      </c>
      <c r="L34">
        <v>2.1</v>
      </c>
      <c r="M34">
        <v>2.8</v>
      </c>
      <c r="N34">
        <v>3.9</v>
      </c>
      <c r="O34">
        <v>6.4</v>
      </c>
      <c r="P34">
        <v>5.9</v>
      </c>
      <c r="Q34">
        <v>6.2</v>
      </c>
      <c r="R34">
        <v>13284.1</v>
      </c>
      <c r="S34">
        <v>165.9</v>
      </c>
      <c r="T34">
        <v>229.1</v>
      </c>
      <c r="U34">
        <v>32.200000000000003</v>
      </c>
      <c r="V34">
        <v>2.6</v>
      </c>
      <c r="W34">
        <v>4.2</v>
      </c>
      <c r="X34">
        <v>1.581</v>
      </c>
      <c r="Y34">
        <v>7.2</v>
      </c>
      <c r="Z34">
        <v>8.1</v>
      </c>
      <c r="AA34">
        <v>88</v>
      </c>
      <c r="AB34">
        <v>0.8</v>
      </c>
      <c r="AC34">
        <v>1.4</v>
      </c>
      <c r="AD34">
        <v>99.9</v>
      </c>
      <c r="AE34">
        <v>1.5</v>
      </c>
      <c r="AF34">
        <v>3.4</v>
      </c>
      <c r="AG34">
        <v>1.986</v>
      </c>
    </row>
    <row r="35" spans="1:33" x14ac:dyDescent="0.2">
      <c r="A35" t="s">
        <v>31</v>
      </c>
      <c r="B35" t="s">
        <v>65</v>
      </c>
      <c r="C35" s="5">
        <f t="shared" si="0"/>
        <v>1.6700000000000003E-2</v>
      </c>
      <c r="D35" s="2">
        <f t="shared" si="1"/>
        <v>-4.075505542363401</v>
      </c>
      <c r="E35" s="4">
        <v>1.67E-2</v>
      </c>
      <c r="F35">
        <v>2.4</v>
      </c>
      <c r="G35">
        <v>4.4000000000000004</v>
      </c>
      <c r="H35">
        <v>8.5</v>
      </c>
      <c r="I35">
        <v>12.8</v>
      </c>
      <c r="J35">
        <v>5.3</v>
      </c>
      <c r="K35">
        <v>5.3</v>
      </c>
      <c r="L35">
        <v>1.6</v>
      </c>
      <c r="M35">
        <v>3.2</v>
      </c>
      <c r="N35">
        <v>4.0999999999999996</v>
      </c>
      <c r="O35">
        <v>6.7</v>
      </c>
      <c r="P35">
        <v>6.1</v>
      </c>
      <c r="Q35">
        <v>5.0999999999999996</v>
      </c>
      <c r="R35">
        <v>13016.4</v>
      </c>
      <c r="S35">
        <v>158.30000000000001</v>
      </c>
      <c r="T35">
        <v>231.9</v>
      </c>
      <c r="U35">
        <v>24.1</v>
      </c>
      <c r="V35">
        <v>-1.9</v>
      </c>
      <c r="W35">
        <v>3.2</v>
      </c>
      <c r="X35">
        <v>1.575</v>
      </c>
      <c r="Y35">
        <v>6</v>
      </c>
      <c r="Z35">
        <v>6.3</v>
      </c>
      <c r="AA35">
        <v>88.7</v>
      </c>
      <c r="AB35">
        <v>-1.9</v>
      </c>
      <c r="AC35">
        <v>1.7</v>
      </c>
      <c r="AD35">
        <v>106.2</v>
      </c>
      <c r="AE35">
        <v>-2.1</v>
      </c>
      <c r="AF35">
        <v>5.8</v>
      </c>
      <c r="AG35">
        <v>1.9910000000000001</v>
      </c>
    </row>
    <row r="36" spans="1:33" x14ac:dyDescent="0.2">
      <c r="A36" t="s">
        <v>31</v>
      </c>
      <c r="B36" t="s">
        <v>66</v>
      </c>
      <c r="C36" s="5">
        <f t="shared" si="0"/>
        <v>1.6299999999999999E-2</v>
      </c>
      <c r="D36" s="2">
        <f t="shared" si="1"/>
        <v>-4.1001558647059957</v>
      </c>
      <c r="E36" s="4">
        <v>1.6299999999999999E-2</v>
      </c>
      <c r="F36">
        <v>-2.1</v>
      </c>
      <c r="G36">
        <v>0.9</v>
      </c>
      <c r="H36">
        <v>-7.5</v>
      </c>
      <c r="I36">
        <v>-3.5</v>
      </c>
      <c r="J36">
        <v>6</v>
      </c>
      <c r="K36">
        <v>6.3</v>
      </c>
      <c r="L36">
        <v>1.5</v>
      </c>
      <c r="M36">
        <v>3.1</v>
      </c>
      <c r="N36">
        <v>4.0999999999999996</v>
      </c>
      <c r="O36">
        <v>7.1</v>
      </c>
      <c r="P36">
        <v>6.3</v>
      </c>
      <c r="Q36">
        <v>5</v>
      </c>
      <c r="R36">
        <v>11826</v>
      </c>
      <c r="S36">
        <v>151.30000000000001</v>
      </c>
      <c r="T36">
        <v>227</v>
      </c>
      <c r="U36">
        <v>46.7</v>
      </c>
      <c r="V36">
        <v>-2.2000000000000002</v>
      </c>
      <c r="W36">
        <v>3.2</v>
      </c>
      <c r="X36">
        <v>1.4079999999999999</v>
      </c>
      <c r="Y36">
        <v>2.9</v>
      </c>
      <c r="Z36">
        <v>3</v>
      </c>
      <c r="AA36">
        <v>91.6</v>
      </c>
      <c r="AB36">
        <v>-4.4000000000000004</v>
      </c>
      <c r="AC36">
        <v>3.8</v>
      </c>
      <c r="AD36">
        <v>105.9</v>
      </c>
      <c r="AE36">
        <v>-6.4</v>
      </c>
      <c r="AF36">
        <v>5.9</v>
      </c>
      <c r="AG36">
        <v>1.78</v>
      </c>
    </row>
    <row r="37" spans="1:33" x14ac:dyDescent="0.2">
      <c r="A37" t="s">
        <v>31</v>
      </c>
      <c r="B37" t="s">
        <v>67</v>
      </c>
      <c r="C37" s="5">
        <f t="shared" si="0"/>
        <v>2.4799999999999996E-2</v>
      </c>
      <c r="D37" s="2">
        <f t="shared" si="1"/>
        <v>-3.6717989249961254</v>
      </c>
      <c r="E37" s="4">
        <v>2.4799999999999999E-2</v>
      </c>
      <c r="F37">
        <v>-8.5</v>
      </c>
      <c r="G37">
        <v>-7.6</v>
      </c>
      <c r="H37">
        <v>4.5999999999999996</v>
      </c>
      <c r="I37">
        <v>-1.9</v>
      </c>
      <c r="J37">
        <v>6.9</v>
      </c>
      <c r="K37">
        <v>-8.9</v>
      </c>
      <c r="L37">
        <v>0.3</v>
      </c>
      <c r="M37">
        <v>2.2000000000000002</v>
      </c>
      <c r="N37">
        <v>3.7</v>
      </c>
      <c r="O37">
        <v>9.6999999999999993</v>
      </c>
      <c r="P37">
        <v>5.9</v>
      </c>
      <c r="Q37">
        <v>4.0999999999999996</v>
      </c>
      <c r="R37">
        <v>9056.7000000000007</v>
      </c>
      <c r="S37">
        <v>143.5</v>
      </c>
      <c r="T37">
        <v>219.7</v>
      </c>
      <c r="U37">
        <v>80.900000000000006</v>
      </c>
      <c r="V37">
        <v>-6.7</v>
      </c>
      <c r="W37">
        <v>-1.4</v>
      </c>
      <c r="X37">
        <v>1.3919999999999999</v>
      </c>
      <c r="Y37">
        <v>0.5</v>
      </c>
      <c r="Z37">
        <v>-1.1000000000000001</v>
      </c>
      <c r="AA37">
        <v>92.3</v>
      </c>
      <c r="AB37">
        <v>-9.1999999999999993</v>
      </c>
      <c r="AC37">
        <v>-2.4</v>
      </c>
      <c r="AD37">
        <v>90.8</v>
      </c>
      <c r="AE37">
        <v>-8.1999999999999993</v>
      </c>
      <c r="AF37">
        <v>0.4</v>
      </c>
      <c r="AG37">
        <v>1.462</v>
      </c>
    </row>
    <row r="38" spans="1:33" x14ac:dyDescent="0.2">
      <c r="A38" t="s">
        <v>31</v>
      </c>
      <c r="B38" t="s">
        <v>68</v>
      </c>
      <c r="C38" s="5">
        <f t="shared" si="0"/>
        <v>3.1499999999999993E-2</v>
      </c>
      <c r="D38" s="2">
        <f t="shared" si="1"/>
        <v>-3.4257609370154634</v>
      </c>
      <c r="E38" s="4">
        <v>3.15E-2</v>
      </c>
      <c r="F38">
        <v>-4.5</v>
      </c>
      <c r="G38">
        <v>-4.8</v>
      </c>
      <c r="H38">
        <v>-0.3</v>
      </c>
      <c r="I38">
        <v>-3</v>
      </c>
      <c r="J38">
        <v>8.3000000000000007</v>
      </c>
      <c r="K38">
        <v>-2.7</v>
      </c>
      <c r="L38">
        <v>0.2</v>
      </c>
      <c r="M38">
        <v>1.9</v>
      </c>
      <c r="N38">
        <v>3.2</v>
      </c>
      <c r="O38">
        <v>9.1</v>
      </c>
      <c r="P38">
        <v>5.0999999999999996</v>
      </c>
      <c r="Q38">
        <v>3.3</v>
      </c>
      <c r="R38">
        <v>8044.2</v>
      </c>
      <c r="S38">
        <v>139.4</v>
      </c>
      <c r="T38">
        <v>206.4</v>
      </c>
      <c r="U38">
        <v>56.7</v>
      </c>
      <c r="V38">
        <v>-11.7</v>
      </c>
      <c r="W38">
        <v>-1</v>
      </c>
      <c r="X38">
        <v>1.3260000000000001</v>
      </c>
      <c r="Y38">
        <v>4.2</v>
      </c>
      <c r="Z38">
        <v>-1.4</v>
      </c>
      <c r="AA38">
        <v>94.3</v>
      </c>
      <c r="AB38">
        <v>-16.600000000000001</v>
      </c>
      <c r="AC38">
        <v>-3.5</v>
      </c>
      <c r="AD38">
        <v>99.2</v>
      </c>
      <c r="AE38">
        <v>-7.8</v>
      </c>
      <c r="AF38">
        <v>-0.2</v>
      </c>
      <c r="AG38">
        <v>1.43</v>
      </c>
    </row>
    <row r="39" spans="1:33" x14ac:dyDescent="0.2">
      <c r="A39" t="s">
        <v>31</v>
      </c>
      <c r="B39" t="s">
        <v>69</v>
      </c>
      <c r="C39" s="5">
        <f t="shared" si="0"/>
        <v>3.8400000000000004E-2</v>
      </c>
      <c r="D39" s="2">
        <f t="shared" si="1"/>
        <v>-3.2205411041872618</v>
      </c>
      <c r="E39" s="4">
        <v>3.8399999999999997E-2</v>
      </c>
      <c r="F39">
        <v>-0.7</v>
      </c>
      <c r="G39">
        <v>-1.4</v>
      </c>
      <c r="H39">
        <v>2.7</v>
      </c>
      <c r="I39">
        <v>4.3</v>
      </c>
      <c r="J39">
        <v>9.3000000000000007</v>
      </c>
      <c r="K39">
        <v>2.1</v>
      </c>
      <c r="L39">
        <v>0.2</v>
      </c>
      <c r="M39">
        <v>2.2999999999999998</v>
      </c>
      <c r="N39">
        <v>3.7</v>
      </c>
      <c r="O39">
        <v>8.1</v>
      </c>
      <c r="P39">
        <v>5</v>
      </c>
      <c r="Q39">
        <v>3.3</v>
      </c>
      <c r="R39">
        <v>9342.7999999999993</v>
      </c>
      <c r="S39">
        <v>139.4</v>
      </c>
      <c r="T39">
        <v>171.1</v>
      </c>
      <c r="U39">
        <v>42.3</v>
      </c>
      <c r="V39">
        <v>0</v>
      </c>
      <c r="W39">
        <v>0</v>
      </c>
      <c r="X39">
        <v>1.4019999999999999</v>
      </c>
      <c r="Y39">
        <v>15.1</v>
      </c>
      <c r="Z39">
        <v>2.2999999999999998</v>
      </c>
      <c r="AA39">
        <v>92.3</v>
      </c>
      <c r="AB39">
        <v>4.5</v>
      </c>
      <c r="AC39">
        <v>-1.5</v>
      </c>
      <c r="AD39">
        <v>96.4</v>
      </c>
      <c r="AE39">
        <v>-1.2</v>
      </c>
      <c r="AF39">
        <v>2.2999999999999998</v>
      </c>
      <c r="AG39">
        <v>1.645</v>
      </c>
    </row>
    <row r="40" spans="1:33" x14ac:dyDescent="0.2">
      <c r="A40" t="s">
        <v>31</v>
      </c>
      <c r="B40" t="s">
        <v>70</v>
      </c>
      <c r="C40" s="5">
        <f t="shared" si="0"/>
        <v>4.5400000000000003E-2</v>
      </c>
      <c r="D40" s="2">
        <f t="shared" si="1"/>
        <v>-3.0457802995244938</v>
      </c>
      <c r="E40" s="4">
        <v>4.5400000000000003E-2</v>
      </c>
      <c r="F40">
        <v>1.4</v>
      </c>
      <c r="G40">
        <v>1.9</v>
      </c>
      <c r="H40">
        <v>-4.8</v>
      </c>
      <c r="I40">
        <v>-2.1</v>
      </c>
      <c r="J40">
        <v>9.6</v>
      </c>
      <c r="K40">
        <v>3.5</v>
      </c>
      <c r="L40">
        <v>0.2</v>
      </c>
      <c r="M40">
        <v>2.5</v>
      </c>
      <c r="N40">
        <v>3.8</v>
      </c>
      <c r="O40">
        <v>6.5</v>
      </c>
      <c r="P40">
        <v>5.2</v>
      </c>
      <c r="Q40">
        <v>3.3</v>
      </c>
      <c r="R40">
        <v>10812.8</v>
      </c>
      <c r="S40">
        <v>139.80000000000001</v>
      </c>
      <c r="T40">
        <v>166</v>
      </c>
      <c r="U40">
        <v>31.3</v>
      </c>
      <c r="V40">
        <v>1.4</v>
      </c>
      <c r="W40">
        <v>1.1000000000000001</v>
      </c>
      <c r="X40">
        <v>1.4630000000000001</v>
      </c>
      <c r="Y40">
        <v>12.7</v>
      </c>
      <c r="Z40">
        <v>4</v>
      </c>
      <c r="AA40">
        <v>91.3</v>
      </c>
      <c r="AB40">
        <v>-2.6</v>
      </c>
      <c r="AC40">
        <v>-1.5</v>
      </c>
      <c r="AD40">
        <v>89.5</v>
      </c>
      <c r="AE40">
        <v>0.5</v>
      </c>
      <c r="AF40">
        <v>3.6</v>
      </c>
      <c r="AG40">
        <v>1.6</v>
      </c>
    </row>
    <row r="41" spans="1:33" x14ac:dyDescent="0.2">
      <c r="A41" t="s">
        <v>31</v>
      </c>
      <c r="B41" t="s">
        <v>71</v>
      </c>
      <c r="C41" s="5">
        <f t="shared" si="0"/>
        <v>4.3699999999999996E-2</v>
      </c>
      <c r="D41" s="2">
        <f t="shared" si="1"/>
        <v>-3.0857235692539526</v>
      </c>
      <c r="E41" s="4">
        <v>4.3700000000000003E-2</v>
      </c>
      <c r="F41">
        <v>4.4000000000000004</v>
      </c>
      <c r="G41">
        <v>5.7</v>
      </c>
      <c r="H41">
        <v>0.6</v>
      </c>
      <c r="I41">
        <v>3.7</v>
      </c>
      <c r="J41">
        <v>9.9</v>
      </c>
      <c r="K41">
        <v>3.2</v>
      </c>
      <c r="L41">
        <v>0.1</v>
      </c>
      <c r="M41">
        <v>2.2999999999999998</v>
      </c>
      <c r="N41">
        <v>3.7</v>
      </c>
      <c r="O41">
        <v>5.8</v>
      </c>
      <c r="P41">
        <v>4.9000000000000004</v>
      </c>
      <c r="Q41">
        <v>3.3</v>
      </c>
      <c r="R41">
        <v>11385.1</v>
      </c>
      <c r="S41">
        <v>140.6</v>
      </c>
      <c r="T41">
        <v>154</v>
      </c>
      <c r="U41">
        <v>30.7</v>
      </c>
      <c r="V41">
        <v>1.8</v>
      </c>
      <c r="W41">
        <v>1.6</v>
      </c>
      <c r="X41">
        <v>1.4330000000000001</v>
      </c>
      <c r="Y41">
        <v>9.6</v>
      </c>
      <c r="Z41">
        <v>4.9000000000000004</v>
      </c>
      <c r="AA41">
        <v>90.7</v>
      </c>
      <c r="AB41">
        <v>6.6</v>
      </c>
      <c r="AC41">
        <v>-1.4</v>
      </c>
      <c r="AD41">
        <v>93.1</v>
      </c>
      <c r="AE41">
        <v>1.3</v>
      </c>
      <c r="AF41">
        <v>2.8</v>
      </c>
      <c r="AG41">
        <v>1.617</v>
      </c>
    </row>
    <row r="42" spans="1:33" x14ac:dyDescent="0.2">
      <c r="A42" t="s">
        <v>31</v>
      </c>
      <c r="B42" t="s">
        <v>72</v>
      </c>
      <c r="C42" s="5">
        <f t="shared" si="0"/>
        <v>3.9899999999999991E-2</v>
      </c>
      <c r="D42" s="2">
        <f t="shared" si="1"/>
        <v>-3.1806611218077605</v>
      </c>
      <c r="E42" s="4">
        <v>3.9899999999999998E-2</v>
      </c>
      <c r="F42">
        <v>2</v>
      </c>
      <c r="G42">
        <v>3.1</v>
      </c>
      <c r="H42">
        <v>2.4</v>
      </c>
      <c r="I42">
        <v>4</v>
      </c>
      <c r="J42">
        <v>9.8000000000000007</v>
      </c>
      <c r="K42">
        <v>0.6</v>
      </c>
      <c r="L42">
        <v>0.1</v>
      </c>
      <c r="M42">
        <v>2.4</v>
      </c>
      <c r="N42">
        <v>3.9</v>
      </c>
      <c r="O42">
        <v>5.6</v>
      </c>
      <c r="P42">
        <v>5</v>
      </c>
      <c r="Q42">
        <v>3.3</v>
      </c>
      <c r="R42">
        <v>12032.5</v>
      </c>
      <c r="S42">
        <v>139.30000000000001</v>
      </c>
      <c r="T42">
        <v>159.30000000000001</v>
      </c>
      <c r="U42">
        <v>27.3</v>
      </c>
      <c r="V42">
        <v>1.6</v>
      </c>
      <c r="W42">
        <v>1.8</v>
      </c>
      <c r="X42">
        <v>1.353</v>
      </c>
      <c r="Y42">
        <v>9.8000000000000007</v>
      </c>
      <c r="Z42">
        <v>4.4000000000000004</v>
      </c>
      <c r="AA42">
        <v>89.8</v>
      </c>
      <c r="AB42">
        <v>5.0999999999999996</v>
      </c>
      <c r="AC42">
        <v>1</v>
      </c>
      <c r="AD42">
        <v>93.4</v>
      </c>
      <c r="AE42">
        <v>3.4</v>
      </c>
      <c r="AF42">
        <v>4.2</v>
      </c>
      <c r="AG42">
        <v>1.5189999999999999</v>
      </c>
    </row>
    <row r="43" spans="1:33" x14ac:dyDescent="0.2">
      <c r="A43" t="s">
        <v>31</v>
      </c>
      <c r="B43" t="s">
        <v>73</v>
      </c>
      <c r="C43" s="5">
        <f t="shared" si="0"/>
        <v>3.6499999999999998E-2</v>
      </c>
      <c r="D43" s="2">
        <f t="shared" si="1"/>
        <v>-3.2732602272659754</v>
      </c>
      <c r="E43" s="4">
        <v>3.6499999999999998E-2</v>
      </c>
      <c r="F43">
        <v>3.9</v>
      </c>
      <c r="G43">
        <v>6</v>
      </c>
      <c r="H43">
        <v>6.8</v>
      </c>
      <c r="I43">
        <v>7.5</v>
      </c>
      <c r="J43">
        <v>9.6</v>
      </c>
      <c r="K43">
        <v>-0.1</v>
      </c>
      <c r="L43">
        <v>0.1</v>
      </c>
      <c r="M43">
        <v>2.2999999999999998</v>
      </c>
      <c r="N43">
        <v>3.6</v>
      </c>
      <c r="O43">
        <v>5.4</v>
      </c>
      <c r="P43">
        <v>4.9000000000000004</v>
      </c>
      <c r="Q43">
        <v>3.3</v>
      </c>
      <c r="R43">
        <v>10645.8</v>
      </c>
      <c r="S43">
        <v>139.69999999999999</v>
      </c>
      <c r="T43">
        <v>171.3</v>
      </c>
      <c r="U43">
        <v>45.8</v>
      </c>
      <c r="V43">
        <v>3.8</v>
      </c>
      <c r="W43">
        <v>1.9</v>
      </c>
      <c r="X43">
        <v>1.2290000000000001</v>
      </c>
      <c r="Y43">
        <v>9.3000000000000007</v>
      </c>
      <c r="Z43">
        <v>3.4</v>
      </c>
      <c r="AA43">
        <v>91.1</v>
      </c>
      <c r="AB43">
        <v>5.6</v>
      </c>
      <c r="AC43">
        <v>-1.4</v>
      </c>
      <c r="AD43">
        <v>88.5</v>
      </c>
      <c r="AE43">
        <v>4.5999999999999996</v>
      </c>
      <c r="AF43">
        <v>3.3</v>
      </c>
      <c r="AG43">
        <v>1.4950000000000001</v>
      </c>
    </row>
    <row r="44" spans="1:33" x14ac:dyDescent="0.2">
      <c r="A44" t="s">
        <v>31</v>
      </c>
      <c r="B44" t="s">
        <v>74</v>
      </c>
      <c r="C44" s="5">
        <f t="shared" si="0"/>
        <v>3.3000000000000002E-2</v>
      </c>
      <c r="D44" s="2">
        <f t="shared" si="1"/>
        <v>-3.377690933986814</v>
      </c>
      <c r="E44" s="4">
        <v>3.3000000000000002E-2</v>
      </c>
      <c r="F44">
        <v>3.1</v>
      </c>
      <c r="G44">
        <v>4.4000000000000004</v>
      </c>
      <c r="H44">
        <v>2.2000000000000002</v>
      </c>
      <c r="I44">
        <v>3</v>
      </c>
      <c r="J44">
        <v>9.5</v>
      </c>
      <c r="K44">
        <v>1.2</v>
      </c>
      <c r="L44">
        <v>0.2</v>
      </c>
      <c r="M44">
        <v>1.6</v>
      </c>
      <c r="N44">
        <v>2.9</v>
      </c>
      <c r="O44">
        <v>4.8</v>
      </c>
      <c r="P44">
        <v>4.4000000000000004</v>
      </c>
      <c r="Q44">
        <v>3.3</v>
      </c>
      <c r="R44">
        <v>11814</v>
      </c>
      <c r="S44">
        <v>136.80000000000001</v>
      </c>
      <c r="T44">
        <v>169.5</v>
      </c>
      <c r="U44">
        <v>32.9</v>
      </c>
      <c r="V44">
        <v>1.8</v>
      </c>
      <c r="W44">
        <v>1.6</v>
      </c>
      <c r="X44">
        <v>1.36</v>
      </c>
      <c r="Y44">
        <v>8.8000000000000007</v>
      </c>
      <c r="Z44">
        <v>4.2</v>
      </c>
      <c r="AA44">
        <v>88.4</v>
      </c>
      <c r="AB44">
        <v>7.1</v>
      </c>
      <c r="AC44">
        <v>-2</v>
      </c>
      <c r="AD44">
        <v>83.5</v>
      </c>
      <c r="AE44">
        <v>2.4</v>
      </c>
      <c r="AF44">
        <v>2.2000000000000002</v>
      </c>
      <c r="AG44">
        <v>1.573</v>
      </c>
    </row>
    <row r="45" spans="1:33" x14ac:dyDescent="0.2">
      <c r="A45" t="s">
        <v>31</v>
      </c>
      <c r="B45" t="s">
        <v>75</v>
      </c>
      <c r="C45" s="5">
        <f t="shared" si="0"/>
        <v>2.8499999999999998E-2</v>
      </c>
      <c r="D45" s="2">
        <f t="shared" si="1"/>
        <v>-3.52893718154289</v>
      </c>
      <c r="E45" s="4">
        <v>2.8500000000000001E-2</v>
      </c>
      <c r="F45">
        <v>2.1</v>
      </c>
      <c r="G45">
        <v>4.5</v>
      </c>
      <c r="H45">
        <v>1.5</v>
      </c>
      <c r="I45">
        <v>4.2</v>
      </c>
      <c r="J45">
        <v>9.5</v>
      </c>
      <c r="K45">
        <v>3.3</v>
      </c>
      <c r="L45">
        <v>0.1</v>
      </c>
      <c r="M45">
        <v>1.5</v>
      </c>
      <c r="N45">
        <v>3</v>
      </c>
      <c r="O45">
        <v>4.7</v>
      </c>
      <c r="P45">
        <v>4.4000000000000004</v>
      </c>
      <c r="Q45">
        <v>3.3</v>
      </c>
      <c r="R45">
        <v>13131.5</v>
      </c>
      <c r="S45">
        <v>135.6</v>
      </c>
      <c r="T45">
        <v>171.9</v>
      </c>
      <c r="U45">
        <v>23.5</v>
      </c>
      <c r="V45">
        <v>2.4</v>
      </c>
      <c r="W45">
        <v>2.6</v>
      </c>
      <c r="X45">
        <v>1.327</v>
      </c>
      <c r="Y45">
        <v>9.6</v>
      </c>
      <c r="Z45">
        <v>7.5</v>
      </c>
      <c r="AA45">
        <v>87.4</v>
      </c>
      <c r="AB45">
        <v>-3.4</v>
      </c>
      <c r="AC45">
        <v>1.4</v>
      </c>
      <c r="AD45">
        <v>81.7</v>
      </c>
      <c r="AE45">
        <v>0.2</v>
      </c>
      <c r="AF45">
        <v>3.9</v>
      </c>
      <c r="AG45">
        <v>1.5389999999999999</v>
      </c>
    </row>
    <row r="46" spans="1:33" x14ac:dyDescent="0.2">
      <c r="A46" t="s">
        <v>31</v>
      </c>
      <c r="B46" t="s">
        <v>76</v>
      </c>
      <c r="C46" s="5">
        <f t="shared" si="0"/>
        <v>2.24E-2</v>
      </c>
      <c r="D46" s="2">
        <f t="shared" si="1"/>
        <v>-3.7760396295563368</v>
      </c>
      <c r="E46" s="4">
        <v>2.24E-2</v>
      </c>
      <c r="F46">
        <v>-0.9</v>
      </c>
      <c r="G46">
        <v>1.1000000000000001</v>
      </c>
      <c r="H46">
        <v>4.0999999999999996</v>
      </c>
      <c r="I46">
        <v>7.6</v>
      </c>
      <c r="J46">
        <v>9</v>
      </c>
      <c r="K46">
        <v>4.3</v>
      </c>
      <c r="L46">
        <v>0.1</v>
      </c>
      <c r="M46">
        <v>2.1</v>
      </c>
      <c r="N46">
        <v>3.5</v>
      </c>
      <c r="O46">
        <v>5</v>
      </c>
      <c r="P46">
        <v>4.8</v>
      </c>
      <c r="Q46">
        <v>3.3</v>
      </c>
      <c r="R46">
        <v>13908.5</v>
      </c>
      <c r="S46">
        <v>133.30000000000001</v>
      </c>
      <c r="T46">
        <v>177</v>
      </c>
      <c r="U46">
        <v>29.4</v>
      </c>
      <c r="V46">
        <v>3.9</v>
      </c>
      <c r="W46">
        <v>3.7</v>
      </c>
      <c r="X46">
        <v>1.4179999999999999</v>
      </c>
      <c r="Y46">
        <v>9.3000000000000007</v>
      </c>
      <c r="Z46">
        <v>6.2</v>
      </c>
      <c r="AA46">
        <v>86.4</v>
      </c>
      <c r="AB46">
        <v>-5.6</v>
      </c>
      <c r="AC46">
        <v>-0.4</v>
      </c>
      <c r="AD46">
        <v>82.8</v>
      </c>
      <c r="AE46">
        <v>0.7</v>
      </c>
      <c r="AF46">
        <v>7</v>
      </c>
      <c r="AG46">
        <v>1.605</v>
      </c>
    </row>
    <row r="47" spans="1:33" x14ac:dyDescent="0.2">
      <c r="A47" t="s">
        <v>31</v>
      </c>
      <c r="B47" t="s">
        <v>77</v>
      </c>
      <c r="C47" s="5">
        <f t="shared" si="0"/>
        <v>1.8799999999999904E-2</v>
      </c>
      <c r="D47" s="2">
        <f t="shared" si="1"/>
        <v>-3.954919442548436</v>
      </c>
      <c r="E47" s="4">
        <v>1.87999999999999E-2</v>
      </c>
      <c r="F47">
        <v>2.7</v>
      </c>
      <c r="G47">
        <v>5.5</v>
      </c>
      <c r="H47">
        <v>-0.8</v>
      </c>
      <c r="I47">
        <v>3.2</v>
      </c>
      <c r="J47">
        <v>9.1</v>
      </c>
      <c r="K47">
        <v>4.5999999999999996</v>
      </c>
      <c r="L47">
        <v>0</v>
      </c>
      <c r="M47">
        <v>1.8</v>
      </c>
      <c r="N47">
        <v>3.3</v>
      </c>
      <c r="O47">
        <v>4.8</v>
      </c>
      <c r="P47">
        <v>4.7</v>
      </c>
      <c r="Q47">
        <v>3.3</v>
      </c>
      <c r="R47">
        <v>13843.5</v>
      </c>
      <c r="S47">
        <v>134</v>
      </c>
      <c r="T47">
        <v>173.8</v>
      </c>
      <c r="U47">
        <v>22.7</v>
      </c>
      <c r="V47">
        <v>0</v>
      </c>
      <c r="W47">
        <v>3.1</v>
      </c>
      <c r="X47">
        <v>1.452</v>
      </c>
      <c r="Y47">
        <v>6.8</v>
      </c>
      <c r="Z47">
        <v>5.4</v>
      </c>
      <c r="AA47">
        <v>85.3</v>
      </c>
      <c r="AB47">
        <v>-2.5</v>
      </c>
      <c r="AC47">
        <v>-0.7</v>
      </c>
      <c r="AD47">
        <v>80.599999999999994</v>
      </c>
      <c r="AE47">
        <v>-0.2</v>
      </c>
      <c r="AF47">
        <v>4.5999999999999996</v>
      </c>
      <c r="AG47">
        <v>1.607</v>
      </c>
    </row>
    <row r="48" spans="1:33" x14ac:dyDescent="0.2">
      <c r="A48" t="s">
        <v>31</v>
      </c>
      <c r="B48" t="s">
        <v>78</v>
      </c>
      <c r="C48" s="5">
        <f t="shared" si="0"/>
        <v>1.5800000000000008E-2</v>
      </c>
      <c r="D48" s="2">
        <f t="shared" si="1"/>
        <v>-4.1318191883989561</v>
      </c>
      <c r="E48" s="4">
        <v>1.5800000000000002E-2</v>
      </c>
      <c r="F48">
        <v>-0.1</v>
      </c>
      <c r="G48">
        <v>2.2999999999999998</v>
      </c>
      <c r="H48">
        <v>2.1</v>
      </c>
      <c r="I48">
        <v>4.0999999999999996</v>
      </c>
      <c r="J48">
        <v>9</v>
      </c>
      <c r="K48">
        <v>2.6</v>
      </c>
      <c r="L48">
        <v>0</v>
      </c>
      <c r="M48">
        <v>1.1000000000000001</v>
      </c>
      <c r="N48">
        <v>2.5</v>
      </c>
      <c r="O48">
        <v>4.5</v>
      </c>
      <c r="P48">
        <v>4.3</v>
      </c>
      <c r="Q48">
        <v>3.3</v>
      </c>
      <c r="R48">
        <v>11676.5</v>
      </c>
      <c r="S48">
        <v>134.5</v>
      </c>
      <c r="T48">
        <v>172</v>
      </c>
      <c r="U48">
        <v>48</v>
      </c>
      <c r="V48">
        <v>0.1</v>
      </c>
      <c r="W48">
        <v>1.3</v>
      </c>
      <c r="X48">
        <v>1.345</v>
      </c>
      <c r="Y48">
        <v>5.6</v>
      </c>
      <c r="Z48">
        <v>5.3</v>
      </c>
      <c r="AA48">
        <v>87.4</v>
      </c>
      <c r="AB48">
        <v>9.9</v>
      </c>
      <c r="AC48">
        <v>0.4</v>
      </c>
      <c r="AD48">
        <v>77</v>
      </c>
      <c r="AE48">
        <v>0.7</v>
      </c>
      <c r="AF48">
        <v>3.5</v>
      </c>
      <c r="AG48">
        <v>1.5620000000000001</v>
      </c>
    </row>
    <row r="49" spans="1:33" x14ac:dyDescent="0.2">
      <c r="A49" t="s">
        <v>31</v>
      </c>
      <c r="B49" t="s">
        <v>79</v>
      </c>
      <c r="C49" s="5">
        <f t="shared" si="0"/>
        <v>1.3900000000000001E-2</v>
      </c>
      <c r="D49" s="2">
        <f t="shared" si="1"/>
        <v>-4.2618689292016372</v>
      </c>
      <c r="E49" s="4">
        <v>1.3899999999999999E-2</v>
      </c>
      <c r="F49">
        <v>4.5999999999999996</v>
      </c>
      <c r="G49">
        <v>5.0999999999999996</v>
      </c>
      <c r="H49">
        <v>0.9</v>
      </c>
      <c r="I49">
        <v>2.2000000000000002</v>
      </c>
      <c r="J49">
        <v>8.6</v>
      </c>
      <c r="K49">
        <v>1.8</v>
      </c>
      <c r="L49">
        <v>0</v>
      </c>
      <c r="M49">
        <v>1</v>
      </c>
      <c r="N49">
        <v>2.1</v>
      </c>
      <c r="O49">
        <v>4.8</v>
      </c>
      <c r="P49">
        <v>4</v>
      </c>
      <c r="Q49">
        <v>3.3</v>
      </c>
      <c r="R49">
        <v>13019.3</v>
      </c>
      <c r="S49">
        <v>134.4</v>
      </c>
      <c r="T49">
        <v>182.9</v>
      </c>
      <c r="U49">
        <v>45.5</v>
      </c>
      <c r="V49">
        <v>-1.2</v>
      </c>
      <c r="W49">
        <v>3.5</v>
      </c>
      <c r="X49">
        <v>1.2969999999999999</v>
      </c>
      <c r="Y49">
        <v>6.6</v>
      </c>
      <c r="Z49">
        <v>3</v>
      </c>
      <c r="AA49">
        <v>87.3</v>
      </c>
      <c r="AB49">
        <v>0.1</v>
      </c>
      <c r="AC49">
        <v>-0.6</v>
      </c>
      <c r="AD49">
        <v>77</v>
      </c>
      <c r="AE49">
        <v>0.3</v>
      </c>
      <c r="AF49">
        <v>3.4</v>
      </c>
      <c r="AG49">
        <v>1.554</v>
      </c>
    </row>
    <row r="50" spans="1:33" x14ac:dyDescent="0.2">
      <c r="A50" t="s">
        <v>31</v>
      </c>
      <c r="B50" t="s">
        <v>80</v>
      </c>
      <c r="C50" s="5">
        <f t="shared" si="0"/>
        <v>1.3099999999999999E-2</v>
      </c>
      <c r="D50" s="2">
        <f t="shared" si="1"/>
        <v>-4.3219564869708558</v>
      </c>
      <c r="E50" s="4">
        <v>1.3100000000000001E-2</v>
      </c>
      <c r="F50">
        <v>3.4</v>
      </c>
      <c r="G50">
        <v>5.8</v>
      </c>
      <c r="H50">
        <v>6.3</v>
      </c>
      <c r="I50">
        <v>9.1</v>
      </c>
      <c r="J50">
        <v>8.3000000000000007</v>
      </c>
      <c r="K50">
        <v>2.2999999999999998</v>
      </c>
      <c r="L50">
        <v>0.1</v>
      </c>
      <c r="M50">
        <v>0.9</v>
      </c>
      <c r="N50">
        <v>2.1</v>
      </c>
      <c r="O50">
        <v>4.4000000000000004</v>
      </c>
      <c r="P50">
        <v>3.9</v>
      </c>
      <c r="Q50">
        <v>3.3</v>
      </c>
      <c r="R50">
        <v>14627.5</v>
      </c>
      <c r="S50">
        <v>135.6</v>
      </c>
      <c r="T50">
        <v>182.2</v>
      </c>
      <c r="U50">
        <v>23</v>
      </c>
      <c r="V50">
        <v>-1</v>
      </c>
      <c r="W50">
        <v>2.9</v>
      </c>
      <c r="X50">
        <v>1.333</v>
      </c>
      <c r="Y50">
        <v>7.6</v>
      </c>
      <c r="Z50">
        <v>3.1</v>
      </c>
      <c r="AA50">
        <v>86.3</v>
      </c>
      <c r="AB50">
        <v>6.2</v>
      </c>
      <c r="AC50">
        <v>2.2999999999999998</v>
      </c>
      <c r="AD50">
        <v>82.4</v>
      </c>
      <c r="AE50">
        <v>3.8</v>
      </c>
      <c r="AF50">
        <v>2.2999999999999998</v>
      </c>
      <c r="AG50">
        <v>1.599</v>
      </c>
    </row>
    <row r="51" spans="1:33" x14ac:dyDescent="0.2">
      <c r="A51" t="s">
        <v>31</v>
      </c>
      <c r="B51" t="s">
        <v>81</v>
      </c>
      <c r="C51" s="5">
        <f t="shared" si="0"/>
        <v>1.1799999999999996E-2</v>
      </c>
      <c r="D51" s="2">
        <f t="shared" si="1"/>
        <v>-4.4277855749400308</v>
      </c>
      <c r="E51" s="4">
        <v>1.18E-2</v>
      </c>
      <c r="F51">
        <v>1.8</v>
      </c>
      <c r="G51">
        <v>3.5</v>
      </c>
      <c r="H51">
        <v>2.7</v>
      </c>
      <c r="I51">
        <v>3.7</v>
      </c>
      <c r="J51">
        <v>8.1999999999999993</v>
      </c>
      <c r="K51">
        <v>0.8</v>
      </c>
      <c r="L51">
        <v>0.1</v>
      </c>
      <c r="M51">
        <v>0.8</v>
      </c>
      <c r="N51">
        <v>1.8</v>
      </c>
      <c r="O51">
        <v>4.3</v>
      </c>
      <c r="P51">
        <v>3.8</v>
      </c>
      <c r="Q51">
        <v>3.3</v>
      </c>
      <c r="R51">
        <v>14100.2</v>
      </c>
      <c r="S51">
        <v>139.1</v>
      </c>
      <c r="T51">
        <v>181.9</v>
      </c>
      <c r="U51">
        <v>26.7</v>
      </c>
      <c r="V51">
        <v>-1.4</v>
      </c>
      <c r="W51">
        <v>2.2000000000000002</v>
      </c>
      <c r="X51">
        <v>1.2669999999999999</v>
      </c>
      <c r="Y51">
        <v>5.7</v>
      </c>
      <c r="Z51">
        <v>3.9</v>
      </c>
      <c r="AA51">
        <v>88.1</v>
      </c>
      <c r="AB51">
        <v>-3.7</v>
      </c>
      <c r="AC51">
        <v>-1.4</v>
      </c>
      <c r="AD51">
        <v>79.8</v>
      </c>
      <c r="AE51">
        <v>-0.2</v>
      </c>
      <c r="AF51">
        <v>1.9</v>
      </c>
      <c r="AG51">
        <v>1.569</v>
      </c>
    </row>
    <row r="52" spans="1:33" x14ac:dyDescent="0.2">
      <c r="A52" t="s">
        <v>31</v>
      </c>
      <c r="B52" t="s">
        <v>82</v>
      </c>
      <c r="C52" s="5">
        <f t="shared" si="0"/>
        <v>1.0199999999999999E-2</v>
      </c>
      <c r="D52" s="2">
        <f t="shared" si="1"/>
        <v>-4.5751151822275604</v>
      </c>
      <c r="E52" s="4">
        <v>1.0200000000000001E-2</v>
      </c>
      <c r="F52">
        <v>0.6</v>
      </c>
      <c r="G52">
        <v>2.8</v>
      </c>
      <c r="H52">
        <v>-3.1</v>
      </c>
      <c r="I52">
        <v>-2</v>
      </c>
      <c r="J52">
        <v>8</v>
      </c>
      <c r="K52">
        <v>1.8</v>
      </c>
      <c r="L52">
        <v>0.1</v>
      </c>
      <c r="M52">
        <v>0.7</v>
      </c>
      <c r="N52">
        <v>1.6</v>
      </c>
      <c r="O52">
        <v>3.9</v>
      </c>
      <c r="P52">
        <v>3.6</v>
      </c>
      <c r="Q52">
        <v>3.3</v>
      </c>
      <c r="R52">
        <v>14894.7</v>
      </c>
      <c r="S52">
        <v>141.80000000000001</v>
      </c>
      <c r="T52">
        <v>185.1</v>
      </c>
      <c r="U52">
        <v>20.5</v>
      </c>
      <c r="V52">
        <v>-0.5</v>
      </c>
      <c r="W52">
        <v>1.5</v>
      </c>
      <c r="X52">
        <v>1.286</v>
      </c>
      <c r="Y52">
        <v>6.6</v>
      </c>
      <c r="Z52">
        <v>2.2000000000000002</v>
      </c>
      <c r="AA52">
        <v>86.2</v>
      </c>
      <c r="AB52">
        <v>-1.6</v>
      </c>
      <c r="AC52">
        <v>-2</v>
      </c>
      <c r="AD52">
        <v>77.900000000000006</v>
      </c>
      <c r="AE52">
        <v>4.2</v>
      </c>
      <c r="AF52">
        <v>2.1</v>
      </c>
      <c r="AG52">
        <v>1.613</v>
      </c>
    </row>
    <row r="53" spans="1:33" x14ac:dyDescent="0.2">
      <c r="A53" t="s">
        <v>31</v>
      </c>
      <c r="B53" t="s">
        <v>83</v>
      </c>
      <c r="C53" s="5">
        <f t="shared" si="0"/>
        <v>9.6000000000000026E-3</v>
      </c>
      <c r="D53" s="2">
        <f t="shared" si="1"/>
        <v>-4.6363458034565408</v>
      </c>
      <c r="E53" s="4">
        <v>9.5999999999999992E-3</v>
      </c>
      <c r="F53">
        <v>0.5</v>
      </c>
      <c r="G53">
        <v>2.5</v>
      </c>
      <c r="H53">
        <v>11.6</v>
      </c>
      <c r="I53">
        <v>14.1</v>
      </c>
      <c r="J53">
        <v>7.8</v>
      </c>
      <c r="K53">
        <v>2.7</v>
      </c>
      <c r="L53">
        <v>0.1</v>
      </c>
      <c r="M53">
        <v>0.7</v>
      </c>
      <c r="N53">
        <v>1.7</v>
      </c>
      <c r="O53">
        <v>3.6</v>
      </c>
      <c r="P53">
        <v>3.4</v>
      </c>
      <c r="Q53">
        <v>3.3</v>
      </c>
      <c r="R53">
        <v>14834.9</v>
      </c>
      <c r="S53">
        <v>145</v>
      </c>
      <c r="T53">
        <v>189.1</v>
      </c>
      <c r="U53">
        <v>22.7</v>
      </c>
      <c r="V53">
        <v>-1.7</v>
      </c>
      <c r="W53">
        <v>2.5</v>
      </c>
      <c r="X53">
        <v>1.319</v>
      </c>
      <c r="Y53">
        <v>7.3</v>
      </c>
      <c r="Z53">
        <v>3.4</v>
      </c>
      <c r="AA53">
        <v>85.9</v>
      </c>
      <c r="AB53">
        <v>-0.2</v>
      </c>
      <c r="AC53">
        <v>0.1</v>
      </c>
      <c r="AD53">
        <v>86.6</v>
      </c>
      <c r="AE53">
        <v>-0.6</v>
      </c>
      <c r="AF53">
        <v>4.2</v>
      </c>
      <c r="AG53">
        <v>1.6259999999999999</v>
      </c>
    </row>
    <row r="54" spans="1:33" x14ac:dyDescent="0.2">
      <c r="A54" t="s">
        <v>31</v>
      </c>
      <c r="B54" t="s">
        <v>84</v>
      </c>
      <c r="C54" s="5">
        <f t="shared" si="0"/>
        <v>9.1000000000000022E-3</v>
      </c>
      <c r="D54" s="2">
        <f t="shared" si="1"/>
        <v>-4.6903392075420491</v>
      </c>
      <c r="E54" s="4">
        <v>9.1000000000000004E-3</v>
      </c>
      <c r="F54">
        <v>4</v>
      </c>
      <c r="G54">
        <v>5.7</v>
      </c>
      <c r="H54">
        <v>-14.9</v>
      </c>
      <c r="I54">
        <v>-13.7</v>
      </c>
      <c r="J54">
        <v>7.7</v>
      </c>
      <c r="K54">
        <v>1.6</v>
      </c>
      <c r="L54">
        <v>0.1</v>
      </c>
      <c r="M54">
        <v>0.8</v>
      </c>
      <c r="N54">
        <v>1.9</v>
      </c>
      <c r="O54">
        <v>3.7</v>
      </c>
      <c r="P54">
        <v>3.5</v>
      </c>
      <c r="Q54">
        <v>3.3</v>
      </c>
      <c r="R54">
        <v>16396.2</v>
      </c>
      <c r="S54">
        <v>148.6</v>
      </c>
      <c r="T54">
        <v>190.1</v>
      </c>
      <c r="U54">
        <v>19</v>
      </c>
      <c r="V54">
        <v>-1.3</v>
      </c>
      <c r="W54">
        <v>1.3</v>
      </c>
      <c r="X54">
        <v>1.282</v>
      </c>
      <c r="Y54">
        <v>6.6</v>
      </c>
      <c r="Z54">
        <v>4.5</v>
      </c>
      <c r="AA54">
        <v>86.2</v>
      </c>
      <c r="AB54">
        <v>5.2</v>
      </c>
      <c r="AC54">
        <v>0.6</v>
      </c>
      <c r="AD54">
        <v>94.2</v>
      </c>
      <c r="AE54">
        <v>1.1000000000000001</v>
      </c>
      <c r="AF54">
        <v>3</v>
      </c>
      <c r="AG54">
        <v>1.5189999999999999</v>
      </c>
    </row>
    <row r="55" spans="1:33" x14ac:dyDescent="0.2">
      <c r="A55" t="s">
        <v>31</v>
      </c>
      <c r="B55" t="s">
        <v>85</v>
      </c>
      <c r="C55" s="5">
        <f t="shared" si="0"/>
        <v>8.5000000000000006E-3</v>
      </c>
      <c r="D55" s="2">
        <f t="shared" si="1"/>
        <v>-4.7591527844635797</v>
      </c>
      <c r="E55" s="4">
        <v>8.5000000000000006E-3</v>
      </c>
      <c r="F55">
        <v>1.1000000000000001</v>
      </c>
      <c r="G55">
        <v>1.9</v>
      </c>
      <c r="H55">
        <v>3.1</v>
      </c>
      <c r="I55">
        <v>3.3</v>
      </c>
      <c r="J55">
        <v>7.5</v>
      </c>
      <c r="K55">
        <v>-0.4</v>
      </c>
      <c r="L55">
        <v>0.1</v>
      </c>
      <c r="M55">
        <v>0.9</v>
      </c>
      <c r="N55">
        <v>2</v>
      </c>
      <c r="O55">
        <v>3.8</v>
      </c>
      <c r="P55">
        <v>3.7</v>
      </c>
      <c r="Q55">
        <v>3.3</v>
      </c>
      <c r="R55">
        <v>16771.3</v>
      </c>
      <c r="S55">
        <v>152.5</v>
      </c>
      <c r="T55">
        <v>200.5</v>
      </c>
      <c r="U55">
        <v>20.5</v>
      </c>
      <c r="V55">
        <v>2.7</v>
      </c>
      <c r="W55">
        <v>0.2</v>
      </c>
      <c r="X55">
        <v>1.3009999999999999</v>
      </c>
      <c r="Y55">
        <v>6.2</v>
      </c>
      <c r="Z55">
        <v>2.8</v>
      </c>
      <c r="AA55">
        <v>87.1</v>
      </c>
      <c r="AB55">
        <v>4.2</v>
      </c>
      <c r="AC55">
        <v>0</v>
      </c>
      <c r="AD55">
        <v>99.2</v>
      </c>
      <c r="AE55">
        <v>2.7</v>
      </c>
      <c r="AF55">
        <v>1.5</v>
      </c>
      <c r="AG55">
        <v>1.5209999999999999</v>
      </c>
    </row>
    <row r="56" spans="1:33" x14ac:dyDescent="0.2">
      <c r="A56" t="s">
        <v>31</v>
      </c>
      <c r="B56" t="s">
        <v>86</v>
      </c>
      <c r="C56" s="5">
        <f t="shared" si="0"/>
        <v>7.9999999999999984E-3</v>
      </c>
      <c r="D56" s="2">
        <f t="shared" si="1"/>
        <v>-4.8202815656050371</v>
      </c>
      <c r="E56" s="4">
        <v>8.0000000000000002E-3</v>
      </c>
      <c r="F56">
        <v>3.4</v>
      </c>
      <c r="G56">
        <v>5.5</v>
      </c>
      <c r="H56">
        <v>1.4</v>
      </c>
      <c r="I56">
        <v>3.1</v>
      </c>
      <c r="J56">
        <v>7.2</v>
      </c>
      <c r="K56">
        <v>2.2000000000000002</v>
      </c>
      <c r="L56">
        <v>0</v>
      </c>
      <c r="M56">
        <v>1.5</v>
      </c>
      <c r="N56">
        <v>2.7</v>
      </c>
      <c r="O56">
        <v>4.7</v>
      </c>
      <c r="P56">
        <v>4.4000000000000004</v>
      </c>
      <c r="Q56">
        <v>3.3</v>
      </c>
      <c r="R56">
        <v>17718.3</v>
      </c>
      <c r="S56">
        <v>156.30000000000001</v>
      </c>
      <c r="T56">
        <v>213</v>
      </c>
      <c r="U56">
        <v>17</v>
      </c>
      <c r="V56">
        <v>1.2</v>
      </c>
      <c r="W56">
        <v>1.1000000000000001</v>
      </c>
      <c r="X56">
        <v>1.3540000000000001</v>
      </c>
      <c r="Y56">
        <v>7.8</v>
      </c>
      <c r="Z56">
        <v>3.6</v>
      </c>
      <c r="AA56">
        <v>86.5</v>
      </c>
      <c r="AB56">
        <v>3.8</v>
      </c>
      <c r="AC56">
        <v>2.7</v>
      </c>
      <c r="AD56">
        <v>98.3</v>
      </c>
      <c r="AE56">
        <v>3.1</v>
      </c>
      <c r="AF56">
        <v>2.1</v>
      </c>
      <c r="AG56">
        <v>1.6180000000000001</v>
      </c>
    </row>
    <row r="57" spans="1:33" x14ac:dyDescent="0.2">
      <c r="A57" t="s">
        <v>31</v>
      </c>
      <c r="B57" t="s">
        <v>87</v>
      </c>
      <c r="C57" s="5">
        <f t="shared" si="0"/>
        <v>7.0999999999998998E-3</v>
      </c>
      <c r="D57" s="2">
        <f t="shared" si="1"/>
        <v>-4.9405351699922928</v>
      </c>
      <c r="E57" s="4">
        <v>7.0999999999998998E-3</v>
      </c>
      <c r="F57">
        <v>3.5</v>
      </c>
      <c r="G57">
        <v>5.7</v>
      </c>
      <c r="H57">
        <v>0.6</v>
      </c>
      <c r="I57">
        <v>2</v>
      </c>
      <c r="J57">
        <v>6.9</v>
      </c>
      <c r="K57">
        <v>1.5</v>
      </c>
      <c r="L57">
        <v>0.1</v>
      </c>
      <c r="M57">
        <v>1.4</v>
      </c>
      <c r="N57">
        <v>2.8</v>
      </c>
      <c r="O57">
        <v>4.5</v>
      </c>
      <c r="P57">
        <v>4.3</v>
      </c>
      <c r="Q57">
        <v>3.3</v>
      </c>
      <c r="R57">
        <v>19413.2</v>
      </c>
      <c r="S57">
        <v>159.30000000000001</v>
      </c>
      <c r="T57">
        <v>213.5</v>
      </c>
      <c r="U57">
        <v>20.3</v>
      </c>
      <c r="V57">
        <v>0.8</v>
      </c>
      <c r="W57">
        <v>0.5</v>
      </c>
      <c r="X57">
        <v>1.3779999999999999</v>
      </c>
      <c r="Y57">
        <v>6.9</v>
      </c>
      <c r="Z57">
        <v>3.8</v>
      </c>
      <c r="AA57">
        <v>85.7</v>
      </c>
      <c r="AB57">
        <v>-0.6</v>
      </c>
      <c r="AC57">
        <v>2.4</v>
      </c>
      <c r="AD57">
        <v>105.3</v>
      </c>
      <c r="AE57">
        <v>2.7</v>
      </c>
      <c r="AF57">
        <v>1.7</v>
      </c>
      <c r="AG57">
        <v>1.657</v>
      </c>
    </row>
    <row r="58" spans="1:33" x14ac:dyDescent="0.2">
      <c r="A58" t="s">
        <v>31</v>
      </c>
      <c r="B58" t="s">
        <v>88</v>
      </c>
      <c r="C58" s="5">
        <f t="shared" si="0"/>
        <v>7.4000000000000021E-3</v>
      </c>
      <c r="D58" s="2">
        <f t="shared" si="1"/>
        <v>-4.8988477629432161</v>
      </c>
      <c r="E58" s="4">
        <v>7.4000000000000003E-3</v>
      </c>
      <c r="F58">
        <v>-1.4</v>
      </c>
      <c r="G58">
        <v>0.1</v>
      </c>
      <c r="H58">
        <v>4.7</v>
      </c>
      <c r="I58">
        <v>6.7</v>
      </c>
      <c r="J58">
        <v>6.7</v>
      </c>
      <c r="K58">
        <v>2.5</v>
      </c>
      <c r="L58">
        <v>0</v>
      </c>
      <c r="M58">
        <v>1.6</v>
      </c>
      <c r="N58">
        <v>2.8</v>
      </c>
      <c r="O58">
        <v>4.4000000000000004</v>
      </c>
      <c r="P58">
        <v>4.4000000000000004</v>
      </c>
      <c r="Q58">
        <v>3.3</v>
      </c>
      <c r="R58">
        <v>19711.2</v>
      </c>
      <c r="S58">
        <v>161.4</v>
      </c>
      <c r="T58">
        <v>209.6</v>
      </c>
      <c r="U58">
        <v>21.4</v>
      </c>
      <c r="V58">
        <v>1.9</v>
      </c>
      <c r="W58">
        <v>0.9</v>
      </c>
      <c r="X58">
        <v>1.3779999999999999</v>
      </c>
      <c r="Y58">
        <v>6.3</v>
      </c>
      <c r="Z58">
        <v>1.4</v>
      </c>
      <c r="AA58">
        <v>86.8</v>
      </c>
      <c r="AB58">
        <v>4.2</v>
      </c>
      <c r="AC58">
        <v>1</v>
      </c>
      <c r="AD58">
        <v>103</v>
      </c>
      <c r="AE58">
        <v>3.2</v>
      </c>
      <c r="AF58">
        <v>1.8</v>
      </c>
      <c r="AG58">
        <v>1.6679999999999999</v>
      </c>
    </row>
    <row r="59" spans="1:33" x14ac:dyDescent="0.2">
      <c r="A59" t="s">
        <v>31</v>
      </c>
      <c r="B59" t="s">
        <v>89</v>
      </c>
      <c r="C59" s="5">
        <f t="shared" si="0"/>
        <v>6.4000000000000012E-3</v>
      </c>
      <c r="D59" s="2">
        <f t="shared" si="1"/>
        <v>-5.045036720813588</v>
      </c>
      <c r="E59" s="4">
        <v>6.4000000000000003E-3</v>
      </c>
      <c r="F59">
        <v>5.3</v>
      </c>
      <c r="G59">
        <v>7.7</v>
      </c>
      <c r="H59">
        <v>5.0999999999999996</v>
      </c>
      <c r="I59">
        <v>7</v>
      </c>
      <c r="J59">
        <v>6.2</v>
      </c>
      <c r="K59">
        <v>2.1</v>
      </c>
      <c r="L59">
        <v>0</v>
      </c>
      <c r="M59">
        <v>1.7</v>
      </c>
      <c r="N59">
        <v>2.7</v>
      </c>
      <c r="O59">
        <v>4</v>
      </c>
      <c r="P59">
        <v>4.2</v>
      </c>
      <c r="Q59">
        <v>3.3</v>
      </c>
      <c r="R59">
        <v>20568.7</v>
      </c>
      <c r="S59">
        <v>162.4</v>
      </c>
      <c r="T59">
        <v>219.5</v>
      </c>
      <c r="U59">
        <v>17</v>
      </c>
      <c r="V59">
        <v>0.9</v>
      </c>
      <c r="W59">
        <v>-0.4</v>
      </c>
      <c r="X59">
        <v>1.369</v>
      </c>
      <c r="Y59">
        <v>7.4</v>
      </c>
      <c r="Z59">
        <v>2.6</v>
      </c>
      <c r="AA59">
        <v>86.5</v>
      </c>
      <c r="AB59">
        <v>-5.6</v>
      </c>
      <c r="AC59">
        <v>8.3000000000000007</v>
      </c>
      <c r="AD59">
        <v>101.3</v>
      </c>
      <c r="AE59">
        <v>3.8</v>
      </c>
      <c r="AF59">
        <v>1.4</v>
      </c>
      <c r="AG59">
        <v>1.7110000000000001</v>
      </c>
    </row>
    <row r="60" spans="1:33" x14ac:dyDescent="0.2">
      <c r="A60" t="s">
        <v>31</v>
      </c>
      <c r="B60" t="s">
        <v>90</v>
      </c>
      <c r="C60" s="5">
        <f t="shared" si="0"/>
        <v>6.1999999999999989E-3</v>
      </c>
      <c r="D60" s="2">
        <f t="shared" si="1"/>
        <v>-5.0769866871171745</v>
      </c>
      <c r="E60" s="4">
        <v>6.1999999999999998E-3</v>
      </c>
      <c r="F60">
        <v>5</v>
      </c>
      <c r="G60">
        <v>6.7</v>
      </c>
      <c r="H60">
        <v>3.8</v>
      </c>
      <c r="I60">
        <v>5</v>
      </c>
      <c r="J60">
        <v>6.1</v>
      </c>
      <c r="K60">
        <v>1</v>
      </c>
      <c r="L60">
        <v>0</v>
      </c>
      <c r="M60">
        <v>1.7</v>
      </c>
      <c r="N60">
        <v>2.5</v>
      </c>
      <c r="O60">
        <v>3.9</v>
      </c>
      <c r="P60">
        <v>4.0999999999999996</v>
      </c>
      <c r="Q60">
        <v>3.3</v>
      </c>
      <c r="R60">
        <v>20458.8</v>
      </c>
      <c r="S60">
        <v>164.6</v>
      </c>
      <c r="T60">
        <v>223.2</v>
      </c>
      <c r="U60">
        <v>17</v>
      </c>
      <c r="V60">
        <v>2</v>
      </c>
      <c r="W60">
        <v>0.1</v>
      </c>
      <c r="X60">
        <v>1.2629999999999999</v>
      </c>
      <c r="Y60">
        <v>6.5</v>
      </c>
      <c r="Z60">
        <v>2.4</v>
      </c>
      <c r="AA60">
        <v>86.9</v>
      </c>
      <c r="AB60">
        <v>0.8</v>
      </c>
      <c r="AC60">
        <v>1.9</v>
      </c>
      <c r="AD60">
        <v>109.7</v>
      </c>
      <c r="AE60">
        <v>3.3</v>
      </c>
      <c r="AF60">
        <v>0.8</v>
      </c>
      <c r="AG60">
        <v>1.6220000000000001</v>
      </c>
    </row>
    <row r="61" spans="1:33" x14ac:dyDescent="0.2">
      <c r="A61" t="s">
        <v>31</v>
      </c>
      <c r="B61" t="s">
        <v>91</v>
      </c>
      <c r="C61" s="5">
        <f t="shared" si="0"/>
        <v>5.7999999999999987E-3</v>
      </c>
      <c r="D61" s="2">
        <f t="shared" si="1"/>
        <v>-5.1440804761081989</v>
      </c>
      <c r="E61" s="4">
        <v>5.7999999999999996E-3</v>
      </c>
      <c r="F61">
        <v>2</v>
      </c>
      <c r="G61">
        <v>2.4</v>
      </c>
      <c r="H61">
        <v>5.8</v>
      </c>
      <c r="I61">
        <v>5.3</v>
      </c>
      <c r="J61">
        <v>5.7</v>
      </c>
      <c r="K61">
        <v>-1</v>
      </c>
      <c r="L61">
        <v>0</v>
      </c>
      <c r="M61">
        <v>1.6</v>
      </c>
      <c r="N61">
        <v>2.2999999999999998</v>
      </c>
      <c r="O61">
        <v>4</v>
      </c>
      <c r="P61">
        <v>4</v>
      </c>
      <c r="Q61">
        <v>3.3</v>
      </c>
      <c r="R61">
        <v>21424.6</v>
      </c>
      <c r="S61">
        <v>167.1</v>
      </c>
      <c r="T61">
        <v>230.8</v>
      </c>
      <c r="U61">
        <v>26.3</v>
      </c>
      <c r="V61">
        <v>1.5</v>
      </c>
      <c r="W61">
        <v>0</v>
      </c>
      <c r="X61">
        <v>1.21</v>
      </c>
      <c r="Y61">
        <v>5.9</v>
      </c>
      <c r="Z61">
        <v>0.9</v>
      </c>
      <c r="AA61">
        <v>88</v>
      </c>
      <c r="AB61">
        <v>2.2999999999999998</v>
      </c>
      <c r="AC61">
        <v>-0.8</v>
      </c>
      <c r="AD61">
        <v>119.9</v>
      </c>
      <c r="AE61">
        <v>2.7</v>
      </c>
      <c r="AF61">
        <v>-0.3</v>
      </c>
      <c r="AG61">
        <v>1.5580000000000001</v>
      </c>
    </row>
    <row r="62" spans="1:33" x14ac:dyDescent="0.2">
      <c r="A62" t="s">
        <v>31</v>
      </c>
      <c r="B62" t="s">
        <v>92</v>
      </c>
      <c r="C62" s="5">
        <f t="shared" si="0"/>
        <v>6.0999999999999015E-3</v>
      </c>
      <c r="D62" s="2">
        <f t="shared" si="1"/>
        <v>-5.0933478267947105</v>
      </c>
      <c r="E62" s="4">
        <v>6.0999999999998998E-3</v>
      </c>
      <c r="F62">
        <v>3.7</v>
      </c>
      <c r="G62">
        <v>3.4</v>
      </c>
      <c r="H62">
        <v>5.6</v>
      </c>
      <c r="I62">
        <v>3.7</v>
      </c>
      <c r="J62">
        <v>5.5</v>
      </c>
      <c r="K62">
        <v>-2.6</v>
      </c>
      <c r="L62">
        <v>0</v>
      </c>
      <c r="M62">
        <v>1.5</v>
      </c>
      <c r="N62">
        <v>2</v>
      </c>
      <c r="O62">
        <v>3.9</v>
      </c>
      <c r="P62">
        <v>3.7</v>
      </c>
      <c r="Q62">
        <v>3.3</v>
      </c>
      <c r="R62">
        <v>21707.599999999999</v>
      </c>
      <c r="S62">
        <v>169.2</v>
      </c>
      <c r="T62">
        <v>241.2</v>
      </c>
      <c r="U62">
        <v>22.4</v>
      </c>
      <c r="V62">
        <v>3.1</v>
      </c>
      <c r="W62">
        <v>-0.8</v>
      </c>
      <c r="X62">
        <v>1.0740000000000001</v>
      </c>
      <c r="Y62">
        <v>6.3</v>
      </c>
      <c r="Z62">
        <v>0.9</v>
      </c>
      <c r="AA62">
        <v>88</v>
      </c>
      <c r="AB62">
        <v>6.6</v>
      </c>
      <c r="AC62">
        <v>0.1</v>
      </c>
      <c r="AD62">
        <v>120</v>
      </c>
      <c r="AE62">
        <v>1.2</v>
      </c>
      <c r="AF62">
        <v>-1.3</v>
      </c>
      <c r="AG62">
        <v>1.4850000000000001</v>
      </c>
    </row>
    <row r="63" spans="1:33" x14ac:dyDescent="0.2">
      <c r="A63" t="s">
        <v>31</v>
      </c>
      <c r="B63" t="s">
        <v>93</v>
      </c>
      <c r="C63" s="5">
        <f t="shared" si="0"/>
        <v>6.9000000000000025E-3</v>
      </c>
      <c r="D63" s="2">
        <f t="shared" si="1"/>
        <v>-4.9693099523060988</v>
      </c>
      <c r="E63" s="4">
        <v>6.8999999999999999E-3</v>
      </c>
      <c r="F63">
        <v>2.5</v>
      </c>
      <c r="G63">
        <v>4.9000000000000004</v>
      </c>
      <c r="H63">
        <v>1.2</v>
      </c>
      <c r="I63">
        <v>3.2</v>
      </c>
      <c r="J63">
        <v>5.4</v>
      </c>
      <c r="K63">
        <v>2.8</v>
      </c>
      <c r="L63">
        <v>0</v>
      </c>
      <c r="M63">
        <v>1.5</v>
      </c>
      <c r="N63">
        <v>2.2000000000000002</v>
      </c>
      <c r="O63">
        <v>3.9</v>
      </c>
      <c r="P63">
        <v>3.8</v>
      </c>
      <c r="Q63">
        <v>3.3</v>
      </c>
      <c r="R63">
        <v>21630.9</v>
      </c>
      <c r="S63">
        <v>171.2</v>
      </c>
      <c r="T63">
        <v>246.3</v>
      </c>
      <c r="U63">
        <v>18.899999999999999</v>
      </c>
      <c r="V63">
        <v>1.7</v>
      </c>
      <c r="W63">
        <v>2.4</v>
      </c>
      <c r="X63">
        <v>1.115</v>
      </c>
      <c r="Y63">
        <v>6.8</v>
      </c>
      <c r="Z63">
        <v>2.8</v>
      </c>
      <c r="AA63">
        <v>88.3</v>
      </c>
      <c r="AB63">
        <v>0.3</v>
      </c>
      <c r="AC63">
        <v>1.1000000000000001</v>
      </c>
      <c r="AD63">
        <v>122.1</v>
      </c>
      <c r="AE63">
        <v>1.8</v>
      </c>
      <c r="AF63">
        <v>0.8</v>
      </c>
      <c r="AG63">
        <v>1.573</v>
      </c>
    </row>
    <row r="64" spans="1:33" x14ac:dyDescent="0.2">
      <c r="A64" t="s">
        <v>31</v>
      </c>
      <c r="B64" t="s">
        <v>94</v>
      </c>
      <c r="C64" s="5">
        <f t="shared" si="0"/>
        <v>7.700000000000002E-3</v>
      </c>
      <c r="D64" s="2">
        <f t="shared" si="1"/>
        <v>-4.8588051520605573</v>
      </c>
      <c r="E64" s="4">
        <v>7.7000000000000002E-3</v>
      </c>
      <c r="F64">
        <v>1.6</v>
      </c>
      <c r="G64">
        <v>2.7</v>
      </c>
      <c r="H64">
        <v>2.2000000000000002</v>
      </c>
      <c r="I64">
        <v>3.3</v>
      </c>
      <c r="J64">
        <v>5.0999999999999996</v>
      </c>
      <c r="K64">
        <v>1.5</v>
      </c>
      <c r="L64">
        <v>0</v>
      </c>
      <c r="M64">
        <v>1.6</v>
      </c>
      <c r="N64">
        <v>2.2999999999999998</v>
      </c>
      <c r="O64">
        <v>4.3</v>
      </c>
      <c r="P64">
        <v>4</v>
      </c>
      <c r="Q64">
        <v>3.3</v>
      </c>
      <c r="R64">
        <v>19959.3</v>
      </c>
      <c r="S64">
        <v>173.6</v>
      </c>
      <c r="T64">
        <v>246.7</v>
      </c>
      <c r="U64">
        <v>40.700000000000003</v>
      </c>
      <c r="V64">
        <v>1.7</v>
      </c>
      <c r="W64">
        <v>-0.2</v>
      </c>
      <c r="X64">
        <v>1.1160000000000001</v>
      </c>
      <c r="Y64">
        <v>6.5</v>
      </c>
      <c r="Z64">
        <v>2.7</v>
      </c>
      <c r="AA64">
        <v>91</v>
      </c>
      <c r="AB64">
        <v>0.6</v>
      </c>
      <c r="AC64">
        <v>0.3</v>
      </c>
      <c r="AD64">
        <v>119.8</v>
      </c>
      <c r="AE64">
        <v>1.6</v>
      </c>
      <c r="AF64">
        <v>0.7</v>
      </c>
      <c r="AG64">
        <v>1.512</v>
      </c>
    </row>
    <row r="65" spans="1:33" x14ac:dyDescent="0.2">
      <c r="A65" t="s">
        <v>31</v>
      </c>
      <c r="B65" t="s">
        <v>95</v>
      </c>
      <c r="C65" s="5">
        <f t="shared" si="0"/>
        <v>8.9999999999999959E-3</v>
      </c>
      <c r="D65" s="2">
        <f t="shared" si="1"/>
        <v>-4.7014899569937691</v>
      </c>
      <c r="E65" s="4">
        <v>8.9999999999999993E-3</v>
      </c>
      <c r="F65">
        <v>0.7</v>
      </c>
      <c r="G65">
        <v>0.7</v>
      </c>
      <c r="H65">
        <v>2.2999999999999998</v>
      </c>
      <c r="I65">
        <v>2</v>
      </c>
      <c r="J65">
        <v>5</v>
      </c>
      <c r="K65">
        <v>0</v>
      </c>
      <c r="L65">
        <v>0.1</v>
      </c>
      <c r="M65">
        <v>1.6</v>
      </c>
      <c r="N65">
        <v>2.2000000000000002</v>
      </c>
      <c r="O65">
        <v>4.4000000000000004</v>
      </c>
      <c r="P65">
        <v>3.9</v>
      </c>
      <c r="Q65">
        <v>3.3</v>
      </c>
      <c r="R65">
        <v>21100.9</v>
      </c>
      <c r="S65">
        <v>176.2</v>
      </c>
      <c r="T65">
        <v>244.3</v>
      </c>
      <c r="U65">
        <v>24.4</v>
      </c>
      <c r="V65">
        <v>2</v>
      </c>
      <c r="W65">
        <v>-0.4</v>
      </c>
      <c r="X65">
        <v>1.0860000000000001</v>
      </c>
      <c r="Y65">
        <v>5.7</v>
      </c>
      <c r="Z65">
        <v>1.1000000000000001</v>
      </c>
      <c r="AA65">
        <v>92.1</v>
      </c>
      <c r="AB65">
        <v>-0.8</v>
      </c>
      <c r="AC65">
        <v>-0.8</v>
      </c>
      <c r="AD65">
        <v>120.3</v>
      </c>
      <c r="AE65">
        <v>2.4</v>
      </c>
      <c r="AF65">
        <v>0</v>
      </c>
      <c r="AG65">
        <v>1.4750000000000001</v>
      </c>
    </row>
    <row r="66" spans="1:33" x14ac:dyDescent="0.2">
      <c r="A66" t="s">
        <v>31</v>
      </c>
      <c r="B66" t="s">
        <v>96</v>
      </c>
      <c r="C66" s="5">
        <f t="shared" si="0"/>
        <v>1.4499999999999897E-2</v>
      </c>
      <c r="D66" s="2">
        <f t="shared" si="1"/>
        <v>-4.2190004771662535</v>
      </c>
      <c r="E66" s="4">
        <v>1.44999999999999E-2</v>
      </c>
      <c r="F66">
        <v>2.2999999999999998</v>
      </c>
      <c r="G66">
        <v>2</v>
      </c>
      <c r="H66">
        <v>3.3</v>
      </c>
      <c r="I66">
        <v>3.5</v>
      </c>
      <c r="J66">
        <v>4.9000000000000004</v>
      </c>
      <c r="K66">
        <v>-0.2</v>
      </c>
      <c r="L66">
        <v>0.3</v>
      </c>
      <c r="M66">
        <v>1.4</v>
      </c>
      <c r="N66">
        <v>2</v>
      </c>
      <c r="O66">
        <v>4.5</v>
      </c>
      <c r="P66">
        <v>3.7</v>
      </c>
      <c r="Q66">
        <v>3.5</v>
      </c>
      <c r="R66">
        <v>21179.4</v>
      </c>
      <c r="S66">
        <v>178.3</v>
      </c>
      <c r="T66">
        <v>238.3</v>
      </c>
      <c r="U66">
        <v>28.1</v>
      </c>
      <c r="V66">
        <v>1.9</v>
      </c>
      <c r="W66">
        <v>-1.4</v>
      </c>
      <c r="X66">
        <v>1.139</v>
      </c>
      <c r="Y66">
        <v>6.7</v>
      </c>
      <c r="Z66">
        <v>3</v>
      </c>
      <c r="AA66">
        <v>91.7</v>
      </c>
      <c r="AB66">
        <v>3.5</v>
      </c>
      <c r="AC66">
        <v>-0.5</v>
      </c>
      <c r="AD66">
        <v>112.4</v>
      </c>
      <c r="AE66">
        <v>2</v>
      </c>
      <c r="AF66">
        <v>0</v>
      </c>
      <c r="AG66">
        <v>1.4379999999999999</v>
      </c>
    </row>
    <row r="67" spans="1:33" x14ac:dyDescent="0.2">
      <c r="A67" t="s">
        <v>31</v>
      </c>
      <c r="B67" t="s">
        <v>97</v>
      </c>
      <c r="C67" s="5">
        <f t="shared" ref="C67:C118" si="2">1/(1+EXP(-D67))</f>
        <v>1.5399999999999995E-2</v>
      </c>
      <c r="D67" s="2">
        <f t="shared" ref="D67:D118" si="3">LN(E67/(1-E67))</f>
        <v>-4.157867957904517</v>
      </c>
      <c r="E67" s="4">
        <v>1.54E-2</v>
      </c>
      <c r="F67">
        <v>1.3</v>
      </c>
      <c r="G67">
        <v>4.0999999999999996</v>
      </c>
      <c r="H67">
        <v>-0.8</v>
      </c>
      <c r="I67">
        <v>1.7</v>
      </c>
      <c r="J67">
        <v>4.9000000000000004</v>
      </c>
      <c r="K67">
        <v>3.2</v>
      </c>
      <c r="L67">
        <v>0.3</v>
      </c>
      <c r="M67">
        <v>1.3</v>
      </c>
      <c r="N67">
        <v>1.8</v>
      </c>
      <c r="O67">
        <v>3.9</v>
      </c>
      <c r="P67">
        <v>3.6</v>
      </c>
      <c r="Q67">
        <v>3.5</v>
      </c>
      <c r="R67">
        <v>21621.5</v>
      </c>
      <c r="S67">
        <v>180.3</v>
      </c>
      <c r="T67">
        <v>246.3</v>
      </c>
      <c r="U67">
        <v>25.8</v>
      </c>
      <c r="V67">
        <v>0.8</v>
      </c>
      <c r="W67">
        <v>1.5</v>
      </c>
      <c r="X67">
        <v>1.103</v>
      </c>
      <c r="Y67">
        <v>6.9</v>
      </c>
      <c r="Z67">
        <v>2.9</v>
      </c>
      <c r="AA67">
        <v>94.1</v>
      </c>
      <c r="AB67">
        <v>-1.4</v>
      </c>
      <c r="AC67">
        <v>0</v>
      </c>
      <c r="AD67">
        <v>102.8</v>
      </c>
      <c r="AE67">
        <v>3</v>
      </c>
      <c r="AF67">
        <v>0.7</v>
      </c>
      <c r="AG67">
        <v>1.3240000000000001</v>
      </c>
    </row>
    <row r="68" spans="1:33" x14ac:dyDescent="0.2">
      <c r="A68" t="s">
        <v>31</v>
      </c>
      <c r="B68" t="s">
        <v>98</v>
      </c>
      <c r="C68" s="5">
        <f t="shared" si="2"/>
        <v>1.5399999999999995E-2</v>
      </c>
      <c r="D68" s="2">
        <f t="shared" si="3"/>
        <v>-4.157867957904517</v>
      </c>
      <c r="E68" s="4">
        <v>1.54E-2</v>
      </c>
      <c r="F68">
        <v>2.9</v>
      </c>
      <c r="G68">
        <v>3.9</v>
      </c>
      <c r="H68">
        <v>2.2999999999999998</v>
      </c>
      <c r="I68">
        <v>3.7</v>
      </c>
      <c r="J68">
        <v>4.9000000000000004</v>
      </c>
      <c r="K68">
        <v>1.7</v>
      </c>
      <c r="L68">
        <v>0.3</v>
      </c>
      <c r="M68">
        <v>1.2</v>
      </c>
      <c r="N68">
        <v>1.6</v>
      </c>
      <c r="O68">
        <v>3.5</v>
      </c>
      <c r="P68">
        <v>3.4</v>
      </c>
      <c r="Q68">
        <v>3.5</v>
      </c>
      <c r="R68">
        <v>22468.6</v>
      </c>
      <c r="S68">
        <v>182.8</v>
      </c>
      <c r="T68">
        <v>255.8</v>
      </c>
      <c r="U68">
        <v>18.100000000000001</v>
      </c>
      <c r="V68">
        <v>1.9</v>
      </c>
      <c r="W68">
        <v>1.3</v>
      </c>
      <c r="X68">
        <v>1.1240000000000001</v>
      </c>
      <c r="Y68">
        <v>6.6</v>
      </c>
      <c r="Z68">
        <v>1.2</v>
      </c>
      <c r="AA68">
        <v>93.6</v>
      </c>
      <c r="AB68">
        <v>0.9</v>
      </c>
      <c r="AC68">
        <v>-0.4</v>
      </c>
      <c r="AD68">
        <v>101.2</v>
      </c>
      <c r="AE68">
        <v>1.8</v>
      </c>
      <c r="AF68">
        <v>2</v>
      </c>
      <c r="AG68">
        <v>1.302</v>
      </c>
    </row>
    <row r="69" spans="1:33" x14ac:dyDescent="0.2">
      <c r="A69" t="s">
        <v>31</v>
      </c>
      <c r="B69" t="s">
        <v>99</v>
      </c>
      <c r="C69" s="5">
        <f t="shared" si="2"/>
        <v>1.4899999999999997E-2</v>
      </c>
      <c r="D69" s="2">
        <f t="shared" si="3"/>
        <v>-4.1913819459102202</v>
      </c>
      <c r="E69" s="4">
        <v>1.49E-2</v>
      </c>
      <c r="F69">
        <v>2.2000000000000002</v>
      </c>
      <c r="G69">
        <v>4.2</v>
      </c>
      <c r="H69">
        <v>2.6</v>
      </c>
      <c r="I69">
        <v>4.5</v>
      </c>
      <c r="J69">
        <v>4.8</v>
      </c>
      <c r="K69">
        <v>2.6</v>
      </c>
      <c r="L69">
        <v>0.4</v>
      </c>
      <c r="M69">
        <v>1.7</v>
      </c>
      <c r="N69">
        <v>2.2000000000000002</v>
      </c>
      <c r="O69">
        <v>3.9</v>
      </c>
      <c r="P69">
        <v>3.8</v>
      </c>
      <c r="Q69">
        <v>3.5</v>
      </c>
      <c r="R69">
        <v>23276.7</v>
      </c>
      <c r="S69">
        <v>185.7</v>
      </c>
      <c r="T69">
        <v>257.2</v>
      </c>
      <c r="U69">
        <v>22.5</v>
      </c>
      <c r="V69">
        <v>3.1</v>
      </c>
      <c r="W69">
        <v>1.7</v>
      </c>
      <c r="X69">
        <v>1.0549999999999999</v>
      </c>
      <c r="Y69">
        <v>5.9</v>
      </c>
      <c r="Z69">
        <v>1.6</v>
      </c>
      <c r="AA69">
        <v>97.5</v>
      </c>
      <c r="AB69">
        <v>0.1</v>
      </c>
      <c r="AC69">
        <v>2.2000000000000002</v>
      </c>
      <c r="AD69">
        <v>116.8</v>
      </c>
      <c r="AE69">
        <v>2.5</v>
      </c>
      <c r="AF69">
        <v>2.1</v>
      </c>
      <c r="AG69">
        <v>1.234</v>
      </c>
    </row>
    <row r="70" spans="1:33" x14ac:dyDescent="0.2">
      <c r="A70" t="s">
        <v>31</v>
      </c>
      <c r="B70" t="s">
        <v>100</v>
      </c>
      <c r="C70" s="5">
        <f t="shared" si="2"/>
        <v>1.4700000000000001E-2</v>
      </c>
      <c r="D70" s="2">
        <f t="shared" si="3"/>
        <v>-4.2050986695437382</v>
      </c>
      <c r="E70" s="4">
        <v>1.47E-2</v>
      </c>
      <c r="F70">
        <v>2</v>
      </c>
      <c r="G70">
        <v>4.0999999999999996</v>
      </c>
      <c r="H70">
        <v>4.2</v>
      </c>
      <c r="I70">
        <v>6.7</v>
      </c>
      <c r="J70">
        <v>4.5999999999999996</v>
      </c>
      <c r="K70">
        <v>2.8</v>
      </c>
      <c r="L70">
        <v>0.6</v>
      </c>
      <c r="M70">
        <v>2</v>
      </c>
      <c r="N70">
        <v>2.5</v>
      </c>
      <c r="O70">
        <v>4</v>
      </c>
      <c r="P70">
        <v>4.2</v>
      </c>
      <c r="Q70">
        <v>3.8</v>
      </c>
      <c r="R70">
        <v>24508.3</v>
      </c>
      <c r="S70">
        <v>188.2</v>
      </c>
      <c r="T70">
        <v>251.2</v>
      </c>
      <c r="U70">
        <v>13.1</v>
      </c>
      <c r="V70">
        <v>3.3</v>
      </c>
      <c r="W70">
        <v>2.6</v>
      </c>
      <c r="X70">
        <v>1.07</v>
      </c>
      <c r="Y70">
        <v>6.3</v>
      </c>
      <c r="Z70">
        <v>1.3</v>
      </c>
      <c r="AA70">
        <v>95.1</v>
      </c>
      <c r="AB70">
        <v>2.9</v>
      </c>
      <c r="AC70">
        <v>-0.7</v>
      </c>
      <c r="AD70">
        <v>111.4</v>
      </c>
      <c r="AE70">
        <v>3.9</v>
      </c>
      <c r="AF70">
        <v>3.8</v>
      </c>
      <c r="AG70">
        <v>1.254</v>
      </c>
    </row>
    <row r="71" spans="1:33" x14ac:dyDescent="0.2">
      <c r="A71" t="s">
        <v>31</v>
      </c>
      <c r="B71" t="s">
        <v>101</v>
      </c>
      <c r="C71" s="5">
        <f t="shared" si="2"/>
        <v>1.2800000000000001E-2</v>
      </c>
      <c r="D71" s="2">
        <f t="shared" si="3"/>
        <v>-4.3454274822255519</v>
      </c>
      <c r="E71" s="4">
        <v>1.2800000000000001E-2</v>
      </c>
      <c r="F71">
        <v>2.2999999999999998</v>
      </c>
      <c r="G71">
        <v>3.3</v>
      </c>
      <c r="H71">
        <v>4.4000000000000004</v>
      </c>
      <c r="I71">
        <v>5.3</v>
      </c>
      <c r="J71">
        <v>4.4000000000000004</v>
      </c>
      <c r="K71">
        <v>0.5</v>
      </c>
      <c r="L71">
        <v>0.9</v>
      </c>
      <c r="M71">
        <v>1.8</v>
      </c>
      <c r="N71">
        <v>2.2999999999999998</v>
      </c>
      <c r="O71">
        <v>3.8</v>
      </c>
      <c r="P71">
        <v>4</v>
      </c>
      <c r="Q71">
        <v>4</v>
      </c>
      <c r="R71">
        <v>25125</v>
      </c>
      <c r="S71">
        <v>190.9</v>
      </c>
      <c r="T71">
        <v>271.2</v>
      </c>
      <c r="U71">
        <v>16</v>
      </c>
      <c r="V71">
        <v>2.7</v>
      </c>
      <c r="W71">
        <v>0.5</v>
      </c>
      <c r="X71">
        <v>1.141</v>
      </c>
      <c r="Y71">
        <v>6.7</v>
      </c>
      <c r="Z71">
        <v>2.2000000000000002</v>
      </c>
      <c r="AA71">
        <v>94.6</v>
      </c>
      <c r="AB71">
        <v>1.3</v>
      </c>
      <c r="AC71">
        <v>0.7</v>
      </c>
      <c r="AD71">
        <v>112.4</v>
      </c>
      <c r="AE71">
        <v>3.5</v>
      </c>
      <c r="AF71">
        <v>3.1</v>
      </c>
      <c r="AG71">
        <v>1.3</v>
      </c>
    </row>
    <row r="72" spans="1:33" x14ac:dyDescent="0.2">
      <c r="A72" t="s">
        <v>31</v>
      </c>
      <c r="B72" t="s">
        <v>102</v>
      </c>
      <c r="C72" s="5">
        <f t="shared" si="2"/>
        <v>1.18999999999999E-2</v>
      </c>
      <c r="D72" s="2">
        <f t="shared" si="3"/>
        <v>-4.419245507083442</v>
      </c>
      <c r="E72" s="4">
        <v>1.18999999999999E-2</v>
      </c>
      <c r="F72">
        <v>3.2</v>
      </c>
      <c r="G72">
        <v>5.3</v>
      </c>
      <c r="H72">
        <v>2.8</v>
      </c>
      <c r="I72">
        <v>4.3</v>
      </c>
      <c r="J72">
        <v>4.3</v>
      </c>
      <c r="K72">
        <v>1.9</v>
      </c>
      <c r="L72">
        <v>1</v>
      </c>
      <c r="M72">
        <v>1.8</v>
      </c>
      <c r="N72">
        <v>2.2999999999999998</v>
      </c>
      <c r="O72">
        <v>3.7</v>
      </c>
      <c r="P72">
        <v>3.9</v>
      </c>
      <c r="Q72">
        <v>4.3</v>
      </c>
      <c r="R72">
        <v>26148.5</v>
      </c>
      <c r="S72">
        <v>193.8</v>
      </c>
      <c r="T72">
        <v>264.5</v>
      </c>
      <c r="U72">
        <v>16</v>
      </c>
      <c r="V72">
        <v>3</v>
      </c>
      <c r="W72">
        <v>1.1000000000000001</v>
      </c>
      <c r="X72">
        <v>1.181</v>
      </c>
      <c r="Y72">
        <v>5.8</v>
      </c>
      <c r="Z72">
        <v>2.2999999999999998</v>
      </c>
      <c r="AA72">
        <v>93.6</v>
      </c>
      <c r="AB72">
        <v>4.5999999999999996</v>
      </c>
      <c r="AC72">
        <v>0.4</v>
      </c>
      <c r="AD72">
        <v>112.6</v>
      </c>
      <c r="AE72">
        <v>2.7</v>
      </c>
      <c r="AF72">
        <v>2.2000000000000002</v>
      </c>
      <c r="AG72">
        <v>1.34</v>
      </c>
    </row>
    <row r="73" spans="1:33" x14ac:dyDescent="0.2">
      <c r="A73" t="s">
        <v>31</v>
      </c>
      <c r="B73" t="s">
        <v>103</v>
      </c>
      <c r="C73" s="5">
        <f t="shared" si="2"/>
        <v>1.1099999999999999E-2</v>
      </c>
      <c r="D73" s="2">
        <f t="shared" si="3"/>
        <v>-4.4896481059576567</v>
      </c>
      <c r="E73" s="4">
        <v>1.11E-2</v>
      </c>
      <c r="F73">
        <v>4.5999999999999996</v>
      </c>
      <c r="G73">
        <v>7.2</v>
      </c>
      <c r="H73">
        <v>2.5</v>
      </c>
      <c r="I73">
        <v>5</v>
      </c>
      <c r="J73">
        <v>4.2</v>
      </c>
      <c r="K73">
        <v>3.2</v>
      </c>
      <c r="L73">
        <v>1.2</v>
      </c>
      <c r="M73">
        <v>2.1</v>
      </c>
      <c r="N73">
        <v>2.4</v>
      </c>
      <c r="O73">
        <v>3.7</v>
      </c>
      <c r="P73">
        <v>3.9</v>
      </c>
      <c r="Q73">
        <v>4.3</v>
      </c>
      <c r="R73">
        <v>27673.200000000001</v>
      </c>
      <c r="S73">
        <v>196.9</v>
      </c>
      <c r="T73">
        <v>270.3</v>
      </c>
      <c r="U73">
        <v>13.1</v>
      </c>
      <c r="V73">
        <v>3.3</v>
      </c>
      <c r="W73">
        <v>1.7</v>
      </c>
      <c r="X73">
        <v>1.202</v>
      </c>
      <c r="Y73">
        <v>6.1</v>
      </c>
      <c r="Z73">
        <v>2.5</v>
      </c>
      <c r="AA73">
        <v>91</v>
      </c>
      <c r="AB73">
        <v>0.6</v>
      </c>
      <c r="AC73">
        <v>1.8</v>
      </c>
      <c r="AD73">
        <v>112.7</v>
      </c>
      <c r="AE73">
        <v>3</v>
      </c>
      <c r="AF73">
        <v>3.1</v>
      </c>
      <c r="AG73">
        <v>1.353</v>
      </c>
    </row>
    <row r="74" spans="1:33" x14ac:dyDescent="0.2">
      <c r="A74" t="s">
        <v>31</v>
      </c>
      <c r="B74" t="s">
        <v>104</v>
      </c>
      <c r="C74" s="5">
        <f t="shared" si="2"/>
        <v>1.0199999999999999E-2</v>
      </c>
      <c r="D74" s="2">
        <f t="shared" si="3"/>
        <v>-4.5751151822275604</v>
      </c>
      <c r="E74" s="4">
        <v>1.0200000000000001E-2</v>
      </c>
      <c r="F74">
        <v>3.3</v>
      </c>
      <c r="G74">
        <v>5.9</v>
      </c>
      <c r="H74">
        <v>4.3</v>
      </c>
      <c r="I74">
        <v>7.2</v>
      </c>
      <c r="J74">
        <v>4</v>
      </c>
      <c r="K74">
        <v>3.4</v>
      </c>
      <c r="L74">
        <v>1.6</v>
      </c>
      <c r="M74">
        <v>2.5</v>
      </c>
      <c r="N74">
        <v>2.8</v>
      </c>
      <c r="O74">
        <v>4.0999999999999996</v>
      </c>
      <c r="P74">
        <v>4.3</v>
      </c>
      <c r="Q74">
        <v>4.5</v>
      </c>
      <c r="R74">
        <v>27383</v>
      </c>
      <c r="S74">
        <v>199.9</v>
      </c>
      <c r="T74">
        <v>273.60000000000002</v>
      </c>
      <c r="U74">
        <v>37.299999999999997</v>
      </c>
      <c r="V74">
        <v>0.2</v>
      </c>
      <c r="W74">
        <v>1.8</v>
      </c>
      <c r="X74">
        <v>1.232</v>
      </c>
      <c r="Y74">
        <v>8.5</v>
      </c>
      <c r="Z74">
        <v>2.5</v>
      </c>
      <c r="AA74">
        <v>89</v>
      </c>
      <c r="AB74">
        <v>-0.7</v>
      </c>
      <c r="AC74">
        <v>2</v>
      </c>
      <c r="AD74">
        <v>106.2</v>
      </c>
      <c r="AE74">
        <v>0.3</v>
      </c>
      <c r="AF74">
        <v>2.5</v>
      </c>
      <c r="AG74">
        <v>1.403</v>
      </c>
    </row>
    <row r="75" spans="1:33" x14ac:dyDescent="0.2">
      <c r="A75" t="s">
        <v>31</v>
      </c>
      <c r="B75" t="s">
        <v>105</v>
      </c>
      <c r="C75" s="5">
        <f t="shared" si="2"/>
        <v>9.700000000000002E-3</v>
      </c>
      <c r="D75" s="2">
        <f t="shared" si="3"/>
        <v>-4.6258820420179196</v>
      </c>
      <c r="E75" s="4">
        <v>9.7000000000000003E-3</v>
      </c>
      <c r="F75">
        <v>2.1</v>
      </c>
      <c r="G75">
        <v>5.0999999999999996</v>
      </c>
      <c r="H75">
        <v>3.6</v>
      </c>
      <c r="I75">
        <v>5.8</v>
      </c>
      <c r="J75">
        <v>3.9</v>
      </c>
      <c r="K75">
        <v>2.2000000000000002</v>
      </c>
      <c r="L75">
        <v>1.8</v>
      </c>
      <c r="M75">
        <v>2.8</v>
      </c>
      <c r="N75">
        <v>2.9</v>
      </c>
      <c r="O75">
        <v>4.5</v>
      </c>
      <c r="P75">
        <v>4.5</v>
      </c>
      <c r="Q75">
        <v>4.8</v>
      </c>
      <c r="R75">
        <v>28313.8</v>
      </c>
      <c r="S75">
        <v>202.2</v>
      </c>
      <c r="T75">
        <v>272.7</v>
      </c>
      <c r="U75">
        <v>23.6</v>
      </c>
      <c r="V75">
        <v>2.1</v>
      </c>
      <c r="W75">
        <v>2.2999999999999998</v>
      </c>
      <c r="X75">
        <v>1.1679999999999999</v>
      </c>
      <c r="Y75">
        <v>6.4</v>
      </c>
      <c r="Z75">
        <v>1.9</v>
      </c>
      <c r="AA75">
        <v>93.4</v>
      </c>
      <c r="AB75">
        <v>2.6</v>
      </c>
      <c r="AC75">
        <v>-1.3</v>
      </c>
      <c r="AD75">
        <v>110.7</v>
      </c>
      <c r="AE75">
        <v>0.9</v>
      </c>
      <c r="AF75">
        <v>1.8</v>
      </c>
      <c r="AG75">
        <v>1.32</v>
      </c>
    </row>
    <row r="76" spans="1:33" x14ac:dyDescent="0.2">
      <c r="A76" t="s">
        <v>31</v>
      </c>
      <c r="B76" t="s">
        <v>106</v>
      </c>
      <c r="C76" s="5">
        <f t="shared" si="2"/>
        <v>8.7000000000000029E-3</v>
      </c>
      <c r="D76" s="2">
        <f t="shared" si="3"/>
        <v>-4.7356941873783134</v>
      </c>
      <c r="E76" s="4">
        <v>8.6999999999999994E-3</v>
      </c>
      <c r="F76">
        <v>2.5</v>
      </c>
      <c r="G76">
        <v>4.3</v>
      </c>
      <c r="H76">
        <v>4.3</v>
      </c>
      <c r="I76">
        <v>5.7</v>
      </c>
      <c r="J76">
        <v>3.8</v>
      </c>
      <c r="K76">
        <v>1.6</v>
      </c>
      <c r="L76">
        <v>2</v>
      </c>
      <c r="M76">
        <v>2.8</v>
      </c>
      <c r="N76">
        <v>2.9</v>
      </c>
      <c r="O76">
        <v>4.5</v>
      </c>
      <c r="P76">
        <v>4.5999999999999996</v>
      </c>
      <c r="Q76">
        <v>5</v>
      </c>
      <c r="R76">
        <v>30189.599999999999</v>
      </c>
      <c r="S76">
        <v>204.3</v>
      </c>
      <c r="T76">
        <v>274.8</v>
      </c>
      <c r="U76">
        <v>16.100000000000001</v>
      </c>
      <c r="V76">
        <v>0.3</v>
      </c>
      <c r="W76">
        <v>2.8</v>
      </c>
      <c r="X76">
        <v>1.1619999999999999</v>
      </c>
      <c r="Y76">
        <v>2.9</v>
      </c>
      <c r="Z76">
        <v>2.9</v>
      </c>
      <c r="AA76">
        <v>97.1</v>
      </c>
      <c r="AB76">
        <v>-1.9</v>
      </c>
      <c r="AC76">
        <v>2</v>
      </c>
      <c r="AD76">
        <v>113.5</v>
      </c>
      <c r="AE76">
        <v>1.3</v>
      </c>
      <c r="AF76">
        <v>2.6</v>
      </c>
      <c r="AG76">
        <v>1.3049999999999999</v>
      </c>
    </row>
    <row r="77" spans="1:33" x14ac:dyDescent="0.2">
      <c r="A77" t="s">
        <v>31</v>
      </c>
      <c r="B77" t="s">
        <v>107</v>
      </c>
      <c r="C77" s="5">
        <f t="shared" si="2"/>
        <v>8.399999999999996E-3</v>
      </c>
      <c r="D77" s="2">
        <f t="shared" si="3"/>
        <v>-4.7710880943117679</v>
      </c>
      <c r="E77" s="4">
        <v>8.3999999999999995E-3</v>
      </c>
      <c r="F77">
        <v>0.6</v>
      </c>
      <c r="G77">
        <v>2.2999999999999998</v>
      </c>
      <c r="H77">
        <v>3.9</v>
      </c>
      <c r="I77">
        <v>5.5</v>
      </c>
      <c r="J77">
        <v>3.8</v>
      </c>
      <c r="K77">
        <v>1.6</v>
      </c>
      <c r="L77">
        <v>2.2999999999999998</v>
      </c>
      <c r="M77">
        <v>2.9</v>
      </c>
      <c r="N77">
        <v>3</v>
      </c>
      <c r="O77">
        <v>4.8</v>
      </c>
      <c r="P77">
        <v>4.8</v>
      </c>
      <c r="Q77">
        <v>5.3</v>
      </c>
      <c r="R77">
        <v>25724.5</v>
      </c>
      <c r="S77">
        <v>206</v>
      </c>
      <c r="T77">
        <v>271.39999999999998</v>
      </c>
      <c r="U77">
        <v>36.1</v>
      </c>
      <c r="V77">
        <v>2.2000000000000002</v>
      </c>
      <c r="W77">
        <v>1</v>
      </c>
      <c r="X77">
        <v>1.1459999999999999</v>
      </c>
      <c r="Y77">
        <v>5.3</v>
      </c>
      <c r="Z77">
        <v>1.2</v>
      </c>
      <c r="AA77">
        <v>96.1</v>
      </c>
      <c r="AB77">
        <v>0.3</v>
      </c>
      <c r="AC77">
        <v>0.7</v>
      </c>
      <c r="AD77">
        <v>109.7</v>
      </c>
      <c r="AE77">
        <v>0.5</v>
      </c>
      <c r="AF77">
        <v>2.1</v>
      </c>
      <c r="AG77">
        <v>1.276</v>
      </c>
    </row>
    <row r="78" spans="1:33" x14ac:dyDescent="0.2">
      <c r="A78" t="s">
        <v>31</v>
      </c>
      <c r="B78" t="s">
        <v>108</v>
      </c>
      <c r="C78" s="5">
        <f t="shared" si="2"/>
        <v>1.0999999999999998E-2</v>
      </c>
      <c r="D78" s="2">
        <f t="shared" si="3"/>
        <v>-4.4987990588243418</v>
      </c>
      <c r="E78" s="4">
        <v>1.0999999999999999E-2</v>
      </c>
      <c r="F78">
        <v>2.5</v>
      </c>
      <c r="G78">
        <v>3.8</v>
      </c>
      <c r="H78">
        <v>5</v>
      </c>
      <c r="I78">
        <v>5.9</v>
      </c>
      <c r="J78">
        <v>3.9</v>
      </c>
      <c r="K78">
        <v>1.1000000000000001</v>
      </c>
      <c r="L78">
        <v>2.4</v>
      </c>
      <c r="M78">
        <v>2.5</v>
      </c>
      <c r="N78">
        <v>2.7</v>
      </c>
      <c r="O78">
        <v>4.5</v>
      </c>
      <c r="P78">
        <v>4.4000000000000004</v>
      </c>
      <c r="Q78">
        <v>5.5</v>
      </c>
      <c r="R78">
        <v>29193.9</v>
      </c>
      <c r="S78">
        <v>207.6</v>
      </c>
      <c r="T78">
        <v>280.8</v>
      </c>
      <c r="U78">
        <v>25.5</v>
      </c>
      <c r="V78">
        <v>2.9</v>
      </c>
      <c r="W78">
        <v>-0.4</v>
      </c>
      <c r="X78">
        <v>1.123</v>
      </c>
      <c r="Y78">
        <v>8.3000000000000007</v>
      </c>
      <c r="Z78">
        <v>1.1000000000000001</v>
      </c>
      <c r="AA78">
        <v>94.4</v>
      </c>
      <c r="AB78">
        <v>0.5</v>
      </c>
      <c r="AC78">
        <v>-0.4</v>
      </c>
      <c r="AD78">
        <v>110.7</v>
      </c>
      <c r="AE78">
        <v>2</v>
      </c>
      <c r="AF78">
        <v>1</v>
      </c>
      <c r="AG78">
        <v>1.3029999999999999</v>
      </c>
    </row>
    <row r="79" spans="1:33" x14ac:dyDescent="0.2">
      <c r="A79" t="s">
        <v>31</v>
      </c>
      <c r="B79" t="s">
        <v>109</v>
      </c>
      <c r="C79" s="5">
        <f t="shared" si="2"/>
        <v>9.8000000000000014E-3</v>
      </c>
      <c r="D79" s="2">
        <f t="shared" si="3"/>
        <v>-4.6155245572507964</v>
      </c>
      <c r="E79" s="4">
        <v>9.7999999999999997E-3</v>
      </c>
      <c r="F79">
        <v>3.4</v>
      </c>
      <c r="G79">
        <v>5.5</v>
      </c>
      <c r="H79">
        <v>-0.3</v>
      </c>
      <c r="I79">
        <v>2</v>
      </c>
      <c r="J79">
        <v>3.6</v>
      </c>
      <c r="K79">
        <v>3</v>
      </c>
      <c r="L79">
        <v>2.2999999999999998</v>
      </c>
      <c r="M79">
        <v>2.1</v>
      </c>
      <c r="N79">
        <v>2.4</v>
      </c>
      <c r="O79">
        <v>4</v>
      </c>
      <c r="P79">
        <v>4</v>
      </c>
      <c r="Q79">
        <v>5.5</v>
      </c>
      <c r="R79">
        <v>30243.8</v>
      </c>
      <c r="S79">
        <v>209.6</v>
      </c>
      <c r="T79">
        <v>293.3</v>
      </c>
      <c r="U79">
        <v>20.6</v>
      </c>
      <c r="V79">
        <v>1.5</v>
      </c>
      <c r="W79">
        <v>2.2999999999999998</v>
      </c>
      <c r="X79">
        <v>1.137</v>
      </c>
      <c r="Y79">
        <v>6.5</v>
      </c>
      <c r="Z79">
        <v>4.9000000000000004</v>
      </c>
      <c r="AA79">
        <v>96.3</v>
      </c>
      <c r="AB79">
        <v>1.6</v>
      </c>
      <c r="AC79">
        <v>1.1000000000000001</v>
      </c>
      <c r="AD79">
        <v>107.8</v>
      </c>
      <c r="AE79">
        <v>0.9</v>
      </c>
      <c r="AF79">
        <v>2.2999999999999998</v>
      </c>
      <c r="AG79">
        <v>1.27</v>
      </c>
    </row>
    <row r="80" spans="1:33" x14ac:dyDescent="0.2">
      <c r="A80" t="s">
        <v>31</v>
      </c>
      <c r="B80" t="s">
        <v>110</v>
      </c>
      <c r="C80" s="5">
        <f t="shared" si="2"/>
        <v>1.0600000000000002E-2</v>
      </c>
      <c r="D80" s="2">
        <f t="shared" si="3"/>
        <v>-4.5362446976755866</v>
      </c>
      <c r="E80" s="4">
        <v>1.06E-2</v>
      </c>
      <c r="F80">
        <v>4.8</v>
      </c>
      <c r="G80">
        <v>6.1</v>
      </c>
      <c r="H80">
        <v>2.7</v>
      </c>
      <c r="I80">
        <v>3.7</v>
      </c>
      <c r="J80">
        <v>3.6</v>
      </c>
      <c r="K80">
        <v>1.3</v>
      </c>
      <c r="L80">
        <v>2</v>
      </c>
      <c r="M80">
        <v>1.7</v>
      </c>
      <c r="N80">
        <v>1.8</v>
      </c>
      <c r="O80">
        <v>3.4</v>
      </c>
      <c r="P80">
        <v>3.7</v>
      </c>
      <c r="Q80">
        <v>5.3</v>
      </c>
      <c r="R80">
        <v>30441.8</v>
      </c>
      <c r="S80">
        <v>212.1</v>
      </c>
      <c r="T80">
        <v>292.3</v>
      </c>
      <c r="U80">
        <v>24.6</v>
      </c>
      <c r="V80">
        <v>0.8</v>
      </c>
      <c r="W80">
        <v>1</v>
      </c>
      <c r="X80">
        <v>1.091</v>
      </c>
      <c r="Y80">
        <v>0.6</v>
      </c>
      <c r="Z80">
        <v>3.4</v>
      </c>
      <c r="AA80">
        <v>99.7</v>
      </c>
      <c r="AB80">
        <v>0.2</v>
      </c>
      <c r="AC80">
        <v>0.1</v>
      </c>
      <c r="AD80">
        <v>108.1</v>
      </c>
      <c r="AE80">
        <v>2.2000000000000002</v>
      </c>
      <c r="AF80">
        <v>1.9</v>
      </c>
      <c r="AG80">
        <v>1.2310000000000001</v>
      </c>
    </row>
    <row r="81" spans="1:33" x14ac:dyDescent="0.2">
      <c r="A81" t="s">
        <v>31</v>
      </c>
      <c r="B81" t="s">
        <v>111</v>
      </c>
      <c r="C81" s="5">
        <f t="shared" si="2"/>
        <v>1.0300000000000002E-2</v>
      </c>
      <c r="D81" s="2">
        <f t="shared" si="3"/>
        <v>-4.5652579716670552</v>
      </c>
      <c r="E81" s="4">
        <v>1.03E-2</v>
      </c>
      <c r="F81">
        <v>2.8</v>
      </c>
      <c r="G81">
        <v>4</v>
      </c>
      <c r="H81">
        <v>1.9</v>
      </c>
      <c r="I81">
        <v>3.5</v>
      </c>
      <c r="J81">
        <v>3.6</v>
      </c>
      <c r="K81">
        <v>2.8</v>
      </c>
      <c r="L81">
        <v>1.6</v>
      </c>
      <c r="M81">
        <v>1.6</v>
      </c>
      <c r="N81">
        <v>1.8</v>
      </c>
      <c r="O81">
        <v>3.3</v>
      </c>
      <c r="P81">
        <v>3.7</v>
      </c>
      <c r="Q81">
        <v>4.8</v>
      </c>
      <c r="R81">
        <v>33035.4</v>
      </c>
      <c r="S81">
        <v>215.2</v>
      </c>
      <c r="T81">
        <v>287.2</v>
      </c>
      <c r="U81">
        <v>20.6</v>
      </c>
      <c r="V81">
        <v>-0.4</v>
      </c>
      <c r="W81">
        <v>1.3</v>
      </c>
      <c r="X81">
        <v>1.123</v>
      </c>
      <c r="Y81">
        <v>4.0999999999999996</v>
      </c>
      <c r="Z81">
        <v>6.7</v>
      </c>
      <c r="AA81">
        <v>97.8</v>
      </c>
      <c r="AB81">
        <v>-11</v>
      </c>
      <c r="AC81">
        <v>1.3</v>
      </c>
      <c r="AD81">
        <v>108.7</v>
      </c>
      <c r="AE81">
        <v>0</v>
      </c>
      <c r="AF81">
        <v>0.4</v>
      </c>
      <c r="AG81">
        <v>1.327</v>
      </c>
    </row>
    <row r="82" spans="1:33" x14ac:dyDescent="0.2">
      <c r="A82" t="s">
        <v>31</v>
      </c>
      <c r="B82" t="s">
        <v>112</v>
      </c>
      <c r="C82" s="5">
        <f t="shared" si="2"/>
        <v>1.0499999999999999E-2</v>
      </c>
      <c r="D82" s="2">
        <f t="shared" si="3"/>
        <v>-4.5458245078791428</v>
      </c>
      <c r="E82" s="4">
        <v>1.0500000000000001E-2</v>
      </c>
      <c r="F82">
        <v>-5.2</v>
      </c>
      <c r="G82">
        <v>-3.3</v>
      </c>
      <c r="H82">
        <v>2.2999999999999998</v>
      </c>
      <c r="I82">
        <v>3.8</v>
      </c>
      <c r="J82">
        <v>3.8</v>
      </c>
      <c r="K82">
        <v>1.4</v>
      </c>
      <c r="L82">
        <v>1.1000000000000001</v>
      </c>
      <c r="M82">
        <v>1.2</v>
      </c>
      <c r="N82">
        <v>1.4</v>
      </c>
      <c r="O82">
        <v>3.4</v>
      </c>
      <c r="P82">
        <v>3.5</v>
      </c>
      <c r="Q82">
        <v>4.4000000000000004</v>
      </c>
      <c r="R82">
        <v>25984.799999999999</v>
      </c>
      <c r="S82">
        <v>218.4</v>
      </c>
      <c r="T82">
        <v>293.3</v>
      </c>
      <c r="U82">
        <v>82.7</v>
      </c>
      <c r="V82">
        <v>-12.4</v>
      </c>
      <c r="W82">
        <v>-0.3</v>
      </c>
      <c r="X82">
        <v>1.1020000000000001</v>
      </c>
      <c r="Y82">
        <v>-23.6</v>
      </c>
      <c r="Z82">
        <v>3.7</v>
      </c>
      <c r="AA82">
        <v>101.5</v>
      </c>
      <c r="AB82">
        <v>1.5</v>
      </c>
      <c r="AC82">
        <v>0</v>
      </c>
      <c r="AD82">
        <v>107.5</v>
      </c>
      <c r="AE82">
        <v>-10.5</v>
      </c>
      <c r="AF82">
        <v>2.2000000000000002</v>
      </c>
      <c r="AG82">
        <v>1.2450000000000001</v>
      </c>
    </row>
    <row r="83" spans="1:33" x14ac:dyDescent="0.2">
      <c r="A83" t="s">
        <v>31</v>
      </c>
      <c r="B83" t="s">
        <v>113</v>
      </c>
      <c r="C83" s="5">
        <f t="shared" si="2"/>
        <v>1.3099999999999999E-2</v>
      </c>
      <c r="D83" s="2">
        <f t="shared" si="3"/>
        <v>-4.3219564869708558</v>
      </c>
      <c r="E83" s="4">
        <v>1.3100000000000001E-2</v>
      </c>
      <c r="F83">
        <v>-28</v>
      </c>
      <c r="G83">
        <v>-29.1</v>
      </c>
      <c r="H83">
        <v>46.2</v>
      </c>
      <c r="I83">
        <v>43.8</v>
      </c>
      <c r="J83">
        <v>13</v>
      </c>
      <c r="K83">
        <v>-3.8</v>
      </c>
      <c r="L83">
        <v>0.1</v>
      </c>
      <c r="M83">
        <v>0.4</v>
      </c>
      <c r="N83">
        <v>0.7</v>
      </c>
      <c r="O83">
        <v>3.4</v>
      </c>
      <c r="P83">
        <v>3.2</v>
      </c>
      <c r="Q83">
        <v>3.3</v>
      </c>
      <c r="R83">
        <v>31576.799999999999</v>
      </c>
      <c r="S83">
        <v>220.2</v>
      </c>
      <c r="T83">
        <v>284.39999999999998</v>
      </c>
      <c r="U83">
        <v>57.1</v>
      </c>
      <c r="V83">
        <v>-37.6</v>
      </c>
      <c r="W83">
        <v>-1.1000000000000001</v>
      </c>
      <c r="X83">
        <v>1.1240000000000001</v>
      </c>
      <c r="Y83">
        <v>36.700000000000003</v>
      </c>
      <c r="Z83">
        <v>-2.1</v>
      </c>
      <c r="AA83">
        <v>97.4</v>
      </c>
      <c r="AB83">
        <v>-25.9</v>
      </c>
      <c r="AC83">
        <v>-0.9</v>
      </c>
      <c r="AD83">
        <v>107.8</v>
      </c>
      <c r="AE83">
        <v>-58.8</v>
      </c>
      <c r="AF83">
        <v>-2.2000000000000002</v>
      </c>
      <c r="AG83">
        <v>1.2370000000000001</v>
      </c>
    </row>
    <row r="84" spans="1:33" x14ac:dyDescent="0.2">
      <c r="A84" t="s">
        <v>31</v>
      </c>
      <c r="B84" t="s">
        <v>114</v>
      </c>
      <c r="C84" s="5">
        <f t="shared" si="2"/>
        <v>1.35E-2</v>
      </c>
      <c r="D84" s="2">
        <f t="shared" si="3"/>
        <v>-4.2914736400182862</v>
      </c>
      <c r="E84" s="4">
        <v>1.35E-2</v>
      </c>
      <c r="F84">
        <v>34.9</v>
      </c>
      <c r="G84">
        <v>39.9</v>
      </c>
      <c r="H84">
        <v>-13.1</v>
      </c>
      <c r="I84">
        <v>-10.3</v>
      </c>
      <c r="J84">
        <v>8.8000000000000007</v>
      </c>
      <c r="K84">
        <v>4.7</v>
      </c>
      <c r="L84">
        <v>0.1</v>
      </c>
      <c r="M84">
        <v>0.3</v>
      </c>
      <c r="N84">
        <v>0.6</v>
      </c>
      <c r="O84">
        <v>2.4</v>
      </c>
      <c r="P84">
        <v>3</v>
      </c>
      <c r="Q84">
        <v>3.3</v>
      </c>
      <c r="R84">
        <v>34305.800000000003</v>
      </c>
      <c r="S84">
        <v>227.3</v>
      </c>
      <c r="T84">
        <v>286.8</v>
      </c>
      <c r="U84">
        <v>33.6</v>
      </c>
      <c r="V84">
        <v>54.8</v>
      </c>
      <c r="W84">
        <v>0.1</v>
      </c>
      <c r="X84">
        <v>1.1719999999999999</v>
      </c>
      <c r="Y84">
        <v>20.100000000000001</v>
      </c>
      <c r="Z84">
        <v>1.8</v>
      </c>
      <c r="AA84">
        <v>95.6</v>
      </c>
      <c r="AB84">
        <v>21.5</v>
      </c>
      <c r="AC84">
        <v>-0.4</v>
      </c>
      <c r="AD84">
        <v>105.6</v>
      </c>
      <c r="AE84">
        <v>87.2</v>
      </c>
      <c r="AF84">
        <v>2.1</v>
      </c>
      <c r="AG84">
        <v>1.292</v>
      </c>
    </row>
    <row r="85" spans="1:33" x14ac:dyDescent="0.2">
      <c r="A85" t="s">
        <v>31</v>
      </c>
      <c r="B85" t="s">
        <v>115</v>
      </c>
      <c r="C85" s="5">
        <f t="shared" si="2"/>
        <v>1.2800000000000001E-2</v>
      </c>
      <c r="D85" s="2">
        <f t="shared" si="3"/>
        <v>-4.3454274822255519</v>
      </c>
      <c r="E85" s="4">
        <v>1.2800000000000001E-2</v>
      </c>
      <c r="F85">
        <v>4.5999999999999996</v>
      </c>
      <c r="G85">
        <v>7.2</v>
      </c>
      <c r="H85">
        <v>-7.9</v>
      </c>
      <c r="I85">
        <v>-6</v>
      </c>
      <c r="J85">
        <v>6.8</v>
      </c>
      <c r="K85">
        <v>2.9</v>
      </c>
      <c r="L85">
        <v>0.1</v>
      </c>
      <c r="M85">
        <v>0.4</v>
      </c>
      <c r="N85">
        <v>0.9</v>
      </c>
      <c r="O85">
        <v>2.2999999999999998</v>
      </c>
      <c r="P85">
        <v>2.8</v>
      </c>
      <c r="Q85">
        <v>3.3</v>
      </c>
      <c r="R85">
        <v>39219.599999999999</v>
      </c>
      <c r="S85">
        <v>235.8</v>
      </c>
      <c r="T85">
        <v>295.3</v>
      </c>
      <c r="U85">
        <v>40.299999999999997</v>
      </c>
      <c r="V85">
        <v>1.5</v>
      </c>
      <c r="W85">
        <v>0.3</v>
      </c>
      <c r="X85">
        <v>1.2230000000000001</v>
      </c>
      <c r="Y85">
        <v>13.4</v>
      </c>
      <c r="Z85">
        <v>0.2</v>
      </c>
      <c r="AA85">
        <v>92.7</v>
      </c>
      <c r="AB85">
        <v>6.8</v>
      </c>
      <c r="AC85">
        <v>-2.4</v>
      </c>
      <c r="AD85">
        <v>103.2</v>
      </c>
      <c r="AE85">
        <v>5.6</v>
      </c>
      <c r="AF85">
        <v>0.2</v>
      </c>
      <c r="AG85">
        <v>1.3660000000000001</v>
      </c>
    </row>
    <row r="86" spans="1:33" x14ac:dyDescent="0.2">
      <c r="A86" t="s">
        <v>31</v>
      </c>
      <c r="B86" t="s">
        <v>116</v>
      </c>
      <c r="C86" s="5">
        <f t="shared" si="2"/>
        <v>1.2299999999999998E-2</v>
      </c>
      <c r="D86" s="2">
        <f t="shared" si="3"/>
        <v>-4.3857797455357099</v>
      </c>
      <c r="E86" s="4">
        <v>1.23E-2</v>
      </c>
      <c r="F86">
        <v>5.7</v>
      </c>
      <c r="G86">
        <v>11.2</v>
      </c>
      <c r="H86">
        <v>59</v>
      </c>
      <c r="I86">
        <v>66.3</v>
      </c>
      <c r="J86">
        <v>6.2</v>
      </c>
      <c r="K86">
        <v>4</v>
      </c>
      <c r="L86">
        <v>0.1</v>
      </c>
      <c r="M86">
        <v>0.6</v>
      </c>
      <c r="N86">
        <v>1.4</v>
      </c>
      <c r="O86">
        <v>2.4</v>
      </c>
      <c r="P86">
        <v>2.9</v>
      </c>
      <c r="Q86">
        <v>3.3</v>
      </c>
      <c r="R86">
        <v>41602.699999999997</v>
      </c>
      <c r="S86">
        <v>243.2</v>
      </c>
      <c r="T86">
        <v>297.60000000000002</v>
      </c>
      <c r="U86">
        <v>37.200000000000003</v>
      </c>
      <c r="V86">
        <v>3.2</v>
      </c>
      <c r="W86">
        <v>4.8</v>
      </c>
      <c r="X86">
        <v>1.1739999999999999</v>
      </c>
      <c r="Y86">
        <v>5.4</v>
      </c>
      <c r="Z86">
        <v>3.2</v>
      </c>
      <c r="AA86">
        <v>93.5</v>
      </c>
      <c r="AB86">
        <v>4.3</v>
      </c>
      <c r="AC86">
        <v>1.6</v>
      </c>
      <c r="AD86">
        <v>110.6</v>
      </c>
      <c r="AE86">
        <v>-4.2</v>
      </c>
      <c r="AF86">
        <v>2.7</v>
      </c>
      <c r="AG86">
        <v>1.38</v>
      </c>
    </row>
    <row r="87" spans="1:33" x14ac:dyDescent="0.2">
      <c r="A87" t="s">
        <v>31</v>
      </c>
      <c r="B87" t="s">
        <v>117</v>
      </c>
      <c r="C87" s="5">
        <f t="shared" si="2"/>
        <v>1.0699999999999998E-2</v>
      </c>
      <c r="D87" s="2">
        <f t="shared" si="3"/>
        <v>-4.5267538808613166</v>
      </c>
      <c r="E87" s="4">
        <v>1.0699999999999999E-2</v>
      </c>
      <c r="F87">
        <v>7</v>
      </c>
      <c r="G87">
        <v>13.8</v>
      </c>
      <c r="H87">
        <v>-27.3</v>
      </c>
      <c r="I87">
        <v>-22.8</v>
      </c>
      <c r="J87">
        <v>5.9</v>
      </c>
      <c r="K87">
        <v>7.6</v>
      </c>
      <c r="L87">
        <v>0</v>
      </c>
      <c r="M87">
        <v>0.8</v>
      </c>
      <c r="N87">
        <v>1.6</v>
      </c>
      <c r="O87">
        <v>2.6</v>
      </c>
      <c r="P87">
        <v>3</v>
      </c>
      <c r="Q87">
        <v>3.3</v>
      </c>
      <c r="R87">
        <v>44904.3</v>
      </c>
      <c r="S87">
        <v>254.7</v>
      </c>
      <c r="T87">
        <v>306.2</v>
      </c>
      <c r="U87">
        <v>27.6</v>
      </c>
      <c r="V87">
        <v>9</v>
      </c>
      <c r="W87">
        <v>2.2999999999999998</v>
      </c>
      <c r="X87">
        <v>1.1850000000000001</v>
      </c>
      <c r="Y87">
        <v>5.4</v>
      </c>
      <c r="Z87">
        <v>1.9</v>
      </c>
      <c r="AA87">
        <v>91.5</v>
      </c>
      <c r="AB87">
        <v>3</v>
      </c>
      <c r="AC87">
        <v>-1.7</v>
      </c>
      <c r="AD87">
        <v>111.1</v>
      </c>
      <c r="AE87">
        <v>31</v>
      </c>
      <c r="AF87">
        <v>3</v>
      </c>
      <c r="AG87">
        <v>1.381</v>
      </c>
    </row>
    <row r="88" spans="1:33" x14ac:dyDescent="0.2">
      <c r="A88" t="s">
        <v>31</v>
      </c>
      <c r="B88" t="s">
        <v>118</v>
      </c>
      <c r="C88" s="5">
        <f t="shared" si="2"/>
        <v>1.0099999999999996E-2</v>
      </c>
      <c r="D88" s="2">
        <f t="shared" si="3"/>
        <v>-4.5850685040785484</v>
      </c>
      <c r="E88" s="4">
        <v>1.01E-2</v>
      </c>
      <c r="F88">
        <v>3.3</v>
      </c>
      <c r="G88">
        <v>9.8000000000000007</v>
      </c>
      <c r="H88">
        <v>-4.5</v>
      </c>
      <c r="I88">
        <v>0.8</v>
      </c>
      <c r="J88">
        <v>5.0999999999999996</v>
      </c>
      <c r="K88">
        <v>6.6</v>
      </c>
      <c r="L88">
        <v>0</v>
      </c>
      <c r="M88">
        <v>0.8</v>
      </c>
      <c r="N88">
        <v>1.4</v>
      </c>
      <c r="O88">
        <v>2.4</v>
      </c>
      <c r="P88">
        <v>2.9</v>
      </c>
      <c r="Q88">
        <v>3.3</v>
      </c>
      <c r="R88">
        <v>44705.8</v>
      </c>
      <c r="S88">
        <v>265.39999999999998</v>
      </c>
      <c r="T88">
        <v>330.6</v>
      </c>
      <c r="U88">
        <v>25.7</v>
      </c>
      <c r="V88">
        <v>7.2</v>
      </c>
      <c r="W88">
        <v>4</v>
      </c>
      <c r="X88">
        <v>1.1579999999999999</v>
      </c>
      <c r="Y88">
        <v>1.9</v>
      </c>
      <c r="Z88">
        <v>0.6</v>
      </c>
      <c r="AA88">
        <v>92.7</v>
      </c>
      <c r="AB88">
        <v>-0.6</v>
      </c>
      <c r="AC88">
        <v>1.9</v>
      </c>
      <c r="AD88">
        <v>111.5</v>
      </c>
      <c r="AE88">
        <v>6.9</v>
      </c>
      <c r="AF88">
        <v>5.3</v>
      </c>
      <c r="AG88">
        <v>1.347</v>
      </c>
    </row>
    <row r="89" spans="1:33" x14ac:dyDescent="0.2">
      <c r="A89" t="s">
        <v>31</v>
      </c>
      <c r="B89" t="s">
        <v>119</v>
      </c>
      <c r="C89" s="5">
        <f t="shared" si="2"/>
        <v>1.0699999999999998E-2</v>
      </c>
      <c r="D89" s="2">
        <f t="shared" si="3"/>
        <v>-4.5267538808613166</v>
      </c>
      <c r="E89" s="4">
        <v>1.0699999999999999E-2</v>
      </c>
      <c r="F89">
        <v>7</v>
      </c>
      <c r="G89">
        <v>14.6</v>
      </c>
      <c r="H89">
        <v>-4.4000000000000004</v>
      </c>
      <c r="I89">
        <v>2.2000000000000002</v>
      </c>
      <c r="J89">
        <v>4.2</v>
      </c>
      <c r="K89">
        <v>8.8000000000000007</v>
      </c>
      <c r="L89">
        <v>0.1</v>
      </c>
      <c r="M89">
        <v>1.2</v>
      </c>
      <c r="N89">
        <v>1.6</v>
      </c>
      <c r="O89">
        <v>2.7</v>
      </c>
      <c r="P89">
        <v>3.1</v>
      </c>
      <c r="Q89">
        <v>3.3</v>
      </c>
      <c r="R89">
        <v>48634.3</v>
      </c>
      <c r="S89">
        <v>275.8</v>
      </c>
      <c r="T89">
        <v>340.1</v>
      </c>
      <c r="U89">
        <v>31.1</v>
      </c>
      <c r="V89">
        <v>3.3</v>
      </c>
      <c r="W89">
        <v>7.6</v>
      </c>
      <c r="X89">
        <v>1.1319999999999999</v>
      </c>
      <c r="Y89">
        <v>7.6</v>
      </c>
      <c r="Z89">
        <v>3.8</v>
      </c>
      <c r="AA89">
        <v>92.2</v>
      </c>
      <c r="AB89">
        <v>4.8</v>
      </c>
      <c r="AC89">
        <v>0.3</v>
      </c>
      <c r="AD89">
        <v>115.2</v>
      </c>
      <c r="AE89">
        <v>5.6</v>
      </c>
      <c r="AF89">
        <v>8.8000000000000007</v>
      </c>
      <c r="AG89">
        <v>1.35</v>
      </c>
    </row>
    <row r="90" spans="1:33" x14ac:dyDescent="0.2">
      <c r="A90" t="s">
        <v>31</v>
      </c>
      <c r="B90" t="s">
        <v>120</v>
      </c>
      <c r="C90" s="5">
        <f t="shared" si="2"/>
        <v>9.8000000000000014E-3</v>
      </c>
      <c r="D90" s="2">
        <f t="shared" si="3"/>
        <v>-4.6155245572507964</v>
      </c>
      <c r="E90" s="4">
        <v>9.7999999999999997E-3</v>
      </c>
      <c r="F90">
        <v>-1</v>
      </c>
      <c r="G90">
        <v>7.2</v>
      </c>
      <c r="H90">
        <v>-11.4</v>
      </c>
      <c r="I90">
        <v>-4.5</v>
      </c>
      <c r="J90">
        <v>3.9</v>
      </c>
      <c r="K90">
        <v>9.1</v>
      </c>
      <c r="L90">
        <v>0.3</v>
      </c>
      <c r="M90">
        <v>1.9</v>
      </c>
      <c r="N90">
        <v>2</v>
      </c>
      <c r="O90">
        <v>3.5</v>
      </c>
      <c r="P90">
        <v>3.8</v>
      </c>
      <c r="Q90">
        <v>3.3</v>
      </c>
      <c r="R90">
        <v>45847.3</v>
      </c>
      <c r="S90">
        <v>287.39999999999998</v>
      </c>
      <c r="T90">
        <v>332.1</v>
      </c>
      <c r="U90">
        <v>36.5</v>
      </c>
      <c r="V90">
        <v>3</v>
      </c>
      <c r="W90">
        <v>10.8</v>
      </c>
      <c r="X90">
        <v>1.109</v>
      </c>
      <c r="Y90">
        <v>3</v>
      </c>
      <c r="Z90">
        <v>2.2000000000000002</v>
      </c>
      <c r="AA90">
        <v>92.8</v>
      </c>
      <c r="AB90">
        <v>-1.5</v>
      </c>
      <c r="AC90">
        <v>3.1</v>
      </c>
      <c r="AD90">
        <v>121.4</v>
      </c>
      <c r="AE90">
        <v>4.0999999999999996</v>
      </c>
      <c r="AF90">
        <v>8</v>
      </c>
      <c r="AG90">
        <v>1.3149999999999999</v>
      </c>
    </row>
    <row r="91" spans="1:33" x14ac:dyDescent="0.2">
      <c r="A91" t="s">
        <v>31</v>
      </c>
      <c r="B91" t="s">
        <v>121</v>
      </c>
      <c r="C91" s="5">
        <f t="shared" si="2"/>
        <v>9.6000000000000026E-3</v>
      </c>
      <c r="D91" s="2">
        <f t="shared" si="3"/>
        <v>-4.6363458034565408</v>
      </c>
      <c r="E91" s="4">
        <v>9.5999999999999992E-3</v>
      </c>
      <c r="F91">
        <v>0.6</v>
      </c>
      <c r="G91">
        <v>10</v>
      </c>
      <c r="H91">
        <v>-2</v>
      </c>
      <c r="I91">
        <v>5.4</v>
      </c>
      <c r="J91">
        <v>3.6</v>
      </c>
      <c r="K91">
        <v>9.9</v>
      </c>
      <c r="L91">
        <v>1.1000000000000001</v>
      </c>
      <c r="M91">
        <v>3</v>
      </c>
      <c r="N91">
        <v>3</v>
      </c>
      <c r="O91">
        <v>4.9000000000000004</v>
      </c>
      <c r="P91">
        <v>5.3</v>
      </c>
      <c r="Q91">
        <v>3.9</v>
      </c>
      <c r="R91">
        <v>37976.5</v>
      </c>
      <c r="S91">
        <v>295.5</v>
      </c>
      <c r="T91">
        <v>334</v>
      </c>
      <c r="U91">
        <v>34.799999999999997</v>
      </c>
      <c r="V91">
        <v>3.8</v>
      </c>
      <c r="W91">
        <v>10.1</v>
      </c>
      <c r="X91">
        <v>1.0469999999999999</v>
      </c>
      <c r="Y91">
        <v>-0.8</v>
      </c>
      <c r="Z91">
        <v>6.2</v>
      </c>
      <c r="AA91">
        <v>98.1</v>
      </c>
      <c r="AB91">
        <v>4</v>
      </c>
      <c r="AC91">
        <v>4.3</v>
      </c>
      <c r="AD91">
        <v>135.69999999999999</v>
      </c>
      <c r="AE91">
        <v>2.2999999999999998</v>
      </c>
      <c r="AF91">
        <v>14.4</v>
      </c>
      <c r="AG91">
        <v>1.216</v>
      </c>
    </row>
    <row r="92" spans="1:33" x14ac:dyDescent="0.2">
      <c r="A92" t="s">
        <v>31</v>
      </c>
      <c r="B92" t="s">
        <v>122</v>
      </c>
      <c r="C92" s="5">
        <f t="shared" si="2"/>
        <v>1.0300000000000002E-2</v>
      </c>
      <c r="D92" s="2">
        <f t="shared" si="3"/>
        <v>-4.5652579716670552</v>
      </c>
      <c r="E92" s="4">
        <v>1.03E-2</v>
      </c>
      <c r="F92">
        <v>2.9</v>
      </c>
      <c r="G92">
        <v>7.6</v>
      </c>
      <c r="H92">
        <v>6.6</v>
      </c>
      <c r="I92">
        <v>11.5</v>
      </c>
      <c r="J92">
        <v>3.5</v>
      </c>
      <c r="K92">
        <v>5.4</v>
      </c>
      <c r="L92">
        <v>2.7</v>
      </c>
      <c r="M92">
        <v>3.3</v>
      </c>
      <c r="N92">
        <v>3.2</v>
      </c>
      <c r="O92">
        <v>5.3</v>
      </c>
      <c r="P92">
        <v>5.6</v>
      </c>
      <c r="Q92">
        <v>5.4</v>
      </c>
      <c r="R92">
        <v>36098</v>
      </c>
      <c r="S92">
        <v>293.8</v>
      </c>
      <c r="T92">
        <v>337.4</v>
      </c>
      <c r="U92">
        <v>32.6</v>
      </c>
      <c r="V92">
        <v>1.8</v>
      </c>
      <c r="W92">
        <v>8.8000000000000007</v>
      </c>
      <c r="X92">
        <v>0.97799999999999998</v>
      </c>
      <c r="Y92">
        <v>7.4</v>
      </c>
      <c r="Z92">
        <v>1.6</v>
      </c>
      <c r="AA92">
        <v>103.6</v>
      </c>
      <c r="AB92">
        <v>-1.4</v>
      </c>
      <c r="AC92">
        <v>3.7</v>
      </c>
      <c r="AD92">
        <v>144.69999999999999</v>
      </c>
      <c r="AE92">
        <v>0.4</v>
      </c>
      <c r="AF92">
        <v>9.1</v>
      </c>
      <c r="AG92">
        <v>1.113</v>
      </c>
    </row>
    <row r="93" spans="1:33" x14ac:dyDescent="0.2">
      <c r="A93" t="s">
        <v>31</v>
      </c>
      <c r="B93" t="s">
        <v>123</v>
      </c>
      <c r="C93" s="5">
        <f t="shared" si="2"/>
        <v>9.1000000000000022E-3</v>
      </c>
      <c r="D93" s="2">
        <f t="shared" si="3"/>
        <v>-4.6903392075420491</v>
      </c>
      <c r="E93" s="4">
        <v>9.1000000000000004E-3</v>
      </c>
      <c r="F93">
        <v>2.8</v>
      </c>
      <c r="G93">
        <v>6.8</v>
      </c>
      <c r="H93">
        <v>4.0999999999999996</v>
      </c>
      <c r="I93">
        <v>8.4</v>
      </c>
      <c r="J93">
        <v>3.6</v>
      </c>
      <c r="K93">
        <v>4.0999999999999996</v>
      </c>
      <c r="L93">
        <v>4</v>
      </c>
      <c r="M93">
        <v>4.0999999999999996</v>
      </c>
      <c r="N93">
        <v>3.9</v>
      </c>
      <c r="O93">
        <v>6.1</v>
      </c>
      <c r="P93">
        <v>6.7</v>
      </c>
      <c r="Q93">
        <v>6.8</v>
      </c>
      <c r="R93">
        <v>38520.6</v>
      </c>
      <c r="S93">
        <v>294.89999999999998</v>
      </c>
      <c r="T93">
        <v>333.8</v>
      </c>
      <c r="U93">
        <v>33.6</v>
      </c>
      <c r="V93">
        <v>-0.2</v>
      </c>
      <c r="W93">
        <v>10.199999999999999</v>
      </c>
      <c r="X93">
        <v>1.07</v>
      </c>
      <c r="Y93">
        <v>3.2</v>
      </c>
      <c r="Z93">
        <v>1.1000000000000001</v>
      </c>
      <c r="AA93">
        <v>101.1</v>
      </c>
      <c r="AB93">
        <v>1.7</v>
      </c>
      <c r="AC93">
        <v>4.2</v>
      </c>
      <c r="AD93">
        <v>131.80000000000001</v>
      </c>
      <c r="AE93">
        <v>1</v>
      </c>
      <c r="AF93">
        <v>11.7</v>
      </c>
      <c r="AG93">
        <v>1.208</v>
      </c>
    </row>
    <row r="94" spans="1:33" x14ac:dyDescent="0.2">
      <c r="A94" t="s">
        <v>31</v>
      </c>
      <c r="B94" t="s">
        <v>124</v>
      </c>
      <c r="C94" s="5">
        <f t="shared" si="2"/>
        <v>8.9999999999999959E-3</v>
      </c>
      <c r="D94" s="2">
        <f t="shared" si="3"/>
        <v>-4.7014899569937691</v>
      </c>
      <c r="E94" s="4">
        <v>8.9999999999999993E-3</v>
      </c>
      <c r="F94">
        <v>2.9</v>
      </c>
      <c r="G94">
        <v>6.8</v>
      </c>
      <c r="H94">
        <v>12.2</v>
      </c>
      <c r="I94">
        <v>16.600000000000001</v>
      </c>
      <c r="J94">
        <v>3.5</v>
      </c>
      <c r="K94">
        <v>3.7</v>
      </c>
      <c r="L94">
        <v>4.5999999999999996</v>
      </c>
      <c r="M94">
        <v>3.8</v>
      </c>
      <c r="N94">
        <v>3.7</v>
      </c>
      <c r="O94">
        <v>5.6</v>
      </c>
      <c r="P94">
        <v>6.4</v>
      </c>
      <c r="Q94">
        <v>7.7</v>
      </c>
      <c r="R94">
        <v>41136.6</v>
      </c>
      <c r="S94">
        <v>298.10000000000002</v>
      </c>
      <c r="T94">
        <v>332.5</v>
      </c>
      <c r="U94">
        <v>26.5</v>
      </c>
      <c r="V94">
        <v>-0.1</v>
      </c>
      <c r="W94">
        <v>3</v>
      </c>
      <c r="X94">
        <v>1.087</v>
      </c>
      <c r="Y94">
        <v>7.5</v>
      </c>
      <c r="Z94">
        <v>0.4</v>
      </c>
      <c r="AA94">
        <v>100.5</v>
      </c>
      <c r="AB94">
        <v>2.9</v>
      </c>
      <c r="AC94">
        <v>2.5</v>
      </c>
      <c r="AD94">
        <v>132.80000000000001</v>
      </c>
      <c r="AE94">
        <v>0.2</v>
      </c>
      <c r="AF94">
        <v>5.8</v>
      </c>
      <c r="AG94">
        <v>1.2370000000000001</v>
      </c>
    </row>
    <row r="95" spans="1:33" x14ac:dyDescent="0.2">
      <c r="A95" t="s">
        <v>31</v>
      </c>
      <c r="B95" t="s">
        <v>125</v>
      </c>
      <c r="C95" s="5">
        <f t="shared" si="2"/>
        <v>9.3999999999999015E-3</v>
      </c>
      <c r="D95" s="2">
        <f t="shared" si="3"/>
        <v>-4.6576011308781897</v>
      </c>
      <c r="E95" s="4">
        <v>9.3999999999998998E-3</v>
      </c>
      <c r="F95">
        <v>2.5</v>
      </c>
      <c r="G95">
        <v>4.7</v>
      </c>
      <c r="H95">
        <v>4.3</v>
      </c>
      <c r="I95">
        <v>7.4</v>
      </c>
      <c r="J95">
        <v>3.5</v>
      </c>
      <c r="K95">
        <v>3</v>
      </c>
      <c r="L95">
        <v>5.0999999999999996</v>
      </c>
      <c r="M95">
        <v>3.7</v>
      </c>
      <c r="N95">
        <v>3.7</v>
      </c>
      <c r="O95">
        <v>5.7</v>
      </c>
      <c r="P95">
        <v>6.5</v>
      </c>
      <c r="Q95">
        <v>8.1999999999999993</v>
      </c>
      <c r="R95">
        <v>44411.5</v>
      </c>
      <c r="S95">
        <v>301.89999999999998</v>
      </c>
      <c r="T95">
        <v>341.8</v>
      </c>
      <c r="U95">
        <v>20.100000000000001</v>
      </c>
      <c r="V95">
        <v>0.8</v>
      </c>
      <c r="W95">
        <v>3.1</v>
      </c>
      <c r="X95">
        <v>1.0920000000000001</v>
      </c>
      <c r="Y95">
        <v>7.2</v>
      </c>
      <c r="Z95">
        <v>1</v>
      </c>
      <c r="AA95">
        <v>104.8</v>
      </c>
      <c r="AB95">
        <v>1.1000000000000001</v>
      </c>
      <c r="AC95">
        <v>3.1</v>
      </c>
      <c r="AD95">
        <v>144.5</v>
      </c>
      <c r="AE95">
        <v>0.2</v>
      </c>
      <c r="AF95">
        <v>7</v>
      </c>
      <c r="AG95">
        <v>1.2709999999999999</v>
      </c>
    </row>
    <row r="96" spans="1:33" x14ac:dyDescent="0.2">
      <c r="A96" t="s">
        <v>31</v>
      </c>
      <c r="B96" t="s">
        <v>126</v>
      </c>
      <c r="C96" s="5">
        <f t="shared" si="2"/>
        <v>8.9999999999999959E-3</v>
      </c>
      <c r="D96" s="2">
        <f t="shared" si="3"/>
        <v>-4.7014899569937691</v>
      </c>
      <c r="E96" s="4">
        <v>8.9999999999999993E-3</v>
      </c>
      <c r="F96">
        <v>4.7</v>
      </c>
      <c r="G96">
        <v>8.1999999999999993</v>
      </c>
      <c r="H96">
        <v>2</v>
      </c>
      <c r="I96">
        <v>4.8</v>
      </c>
      <c r="J96">
        <v>3.6</v>
      </c>
      <c r="K96">
        <v>3.5</v>
      </c>
      <c r="L96">
        <v>5.3</v>
      </c>
      <c r="M96">
        <v>4.3</v>
      </c>
      <c r="N96">
        <v>4.2</v>
      </c>
      <c r="O96">
        <v>6</v>
      </c>
      <c r="P96">
        <v>7</v>
      </c>
      <c r="Q96">
        <v>8.4</v>
      </c>
      <c r="R96">
        <v>42788.7</v>
      </c>
      <c r="S96">
        <v>307.60000000000002</v>
      </c>
      <c r="T96">
        <v>335.7</v>
      </c>
      <c r="U96">
        <v>18.899999999999999</v>
      </c>
      <c r="V96">
        <v>-0.1</v>
      </c>
      <c r="W96">
        <v>3.6</v>
      </c>
      <c r="X96">
        <v>1.0580000000000001</v>
      </c>
      <c r="Y96">
        <v>4.2</v>
      </c>
      <c r="Z96">
        <v>2</v>
      </c>
      <c r="AA96">
        <v>106.5</v>
      </c>
      <c r="AB96">
        <v>-5.3</v>
      </c>
      <c r="AC96">
        <v>2.8</v>
      </c>
      <c r="AD96">
        <v>149.4</v>
      </c>
      <c r="AE96">
        <v>-1</v>
      </c>
      <c r="AF96">
        <v>2.6</v>
      </c>
      <c r="AG96">
        <v>1.2210000000000001</v>
      </c>
    </row>
    <row r="97" spans="1:33" x14ac:dyDescent="0.2">
      <c r="A97" t="s">
        <v>31</v>
      </c>
      <c r="B97" t="s">
        <v>127</v>
      </c>
      <c r="C97" s="5">
        <f t="shared" si="2"/>
        <v>9.3999999999999015E-3</v>
      </c>
      <c r="D97" s="2">
        <f t="shared" si="3"/>
        <v>-4.6576011308781897</v>
      </c>
      <c r="E97" s="4">
        <v>9.3999999999998998E-3</v>
      </c>
      <c r="F97">
        <v>3.4</v>
      </c>
      <c r="G97">
        <v>5.0999999999999996</v>
      </c>
      <c r="H97">
        <v>3.5</v>
      </c>
      <c r="I97">
        <v>5.3</v>
      </c>
      <c r="J97">
        <v>3.8</v>
      </c>
      <c r="K97">
        <v>2.8</v>
      </c>
      <c r="L97">
        <v>5.3</v>
      </c>
      <c r="M97">
        <v>4.5</v>
      </c>
      <c r="N97">
        <v>4.5</v>
      </c>
      <c r="O97">
        <v>6.2</v>
      </c>
      <c r="P97">
        <v>7.3</v>
      </c>
      <c r="Q97">
        <v>8.5</v>
      </c>
      <c r="R97">
        <v>47787.5</v>
      </c>
      <c r="S97">
        <v>311.2</v>
      </c>
      <c r="T97">
        <v>310.5</v>
      </c>
      <c r="U97">
        <v>21.7</v>
      </c>
      <c r="V97">
        <v>0.2</v>
      </c>
      <c r="W97">
        <v>1.3</v>
      </c>
      <c r="X97">
        <v>1.1060000000000001</v>
      </c>
      <c r="Y97">
        <v>4.5</v>
      </c>
      <c r="Z97">
        <v>0.2</v>
      </c>
      <c r="AA97">
        <v>104.2</v>
      </c>
      <c r="AB97">
        <v>1.8</v>
      </c>
      <c r="AC97">
        <v>3.2</v>
      </c>
      <c r="AD97">
        <v>140.9</v>
      </c>
      <c r="AE97">
        <v>-1.3</v>
      </c>
      <c r="AF97">
        <v>1.5</v>
      </c>
      <c r="AG97">
        <v>1.274</v>
      </c>
    </row>
    <row r="98" spans="1:33" x14ac:dyDescent="0.2">
      <c r="A98" t="s">
        <v>31</v>
      </c>
      <c r="B98" t="s">
        <v>128</v>
      </c>
      <c r="C98" s="5">
        <f t="shared" si="2"/>
        <v>1.04E-2</v>
      </c>
      <c r="D98" s="2">
        <f t="shared" si="3"/>
        <v>-4.5554950149309512</v>
      </c>
      <c r="E98" s="4">
        <v>1.04E-2</v>
      </c>
      <c r="F98">
        <v>0.8</v>
      </c>
      <c r="G98">
        <v>4</v>
      </c>
      <c r="H98">
        <v>4.2</v>
      </c>
      <c r="I98">
        <v>7.9</v>
      </c>
      <c r="J98">
        <v>3.8</v>
      </c>
      <c r="K98">
        <v>3.7</v>
      </c>
      <c r="L98">
        <v>5.2</v>
      </c>
      <c r="M98">
        <v>4.0999999999999996</v>
      </c>
      <c r="N98">
        <v>4.2</v>
      </c>
      <c r="O98">
        <v>5.6</v>
      </c>
      <c r="P98">
        <v>6.7</v>
      </c>
      <c r="Q98">
        <v>8.5</v>
      </c>
      <c r="R98">
        <v>52402.9</v>
      </c>
      <c r="S98">
        <v>314.2</v>
      </c>
      <c r="T98">
        <v>303.8</v>
      </c>
      <c r="U98">
        <v>15.9</v>
      </c>
      <c r="V98">
        <v>1.1000000000000001</v>
      </c>
      <c r="W98">
        <v>2.4</v>
      </c>
      <c r="X98">
        <v>1.079</v>
      </c>
      <c r="Y98">
        <v>5.7</v>
      </c>
      <c r="Z98">
        <v>1.2</v>
      </c>
      <c r="AA98">
        <v>105.9</v>
      </c>
      <c r="AB98">
        <v>-2.1</v>
      </c>
      <c r="AC98">
        <v>1.1000000000000001</v>
      </c>
      <c r="AD98">
        <v>151.19999999999999</v>
      </c>
      <c r="AE98">
        <v>3.3</v>
      </c>
      <c r="AF98">
        <v>3.2</v>
      </c>
      <c r="AG98">
        <v>1.264</v>
      </c>
    </row>
    <row r="99" spans="1:33" x14ac:dyDescent="0.2">
      <c r="A99" t="s">
        <v>31</v>
      </c>
      <c r="B99" t="s">
        <v>129</v>
      </c>
      <c r="C99" s="5">
        <f t="shared" si="2"/>
        <v>1.0499999999999999E-2</v>
      </c>
      <c r="D99" s="2">
        <f t="shared" si="3"/>
        <v>-4.5458245078791428</v>
      </c>
      <c r="E99" s="4">
        <v>1.0500000000000001E-2</v>
      </c>
      <c r="F99">
        <v>3.6</v>
      </c>
      <c r="G99">
        <v>6.3</v>
      </c>
      <c r="H99">
        <v>2.4</v>
      </c>
      <c r="I99">
        <v>5.0999999999999996</v>
      </c>
      <c r="J99">
        <v>4</v>
      </c>
      <c r="K99">
        <v>2.8</v>
      </c>
      <c r="L99">
        <v>5.2</v>
      </c>
      <c r="M99">
        <v>4.5</v>
      </c>
      <c r="N99">
        <v>4.5</v>
      </c>
      <c r="O99">
        <v>5.8</v>
      </c>
      <c r="P99">
        <v>7</v>
      </c>
      <c r="Q99">
        <v>8.5</v>
      </c>
      <c r="R99">
        <v>53915.7</v>
      </c>
      <c r="S99">
        <v>316.3</v>
      </c>
      <c r="T99">
        <v>307.10000000000002</v>
      </c>
      <c r="U99">
        <v>19.2</v>
      </c>
      <c r="V99">
        <v>0.9</v>
      </c>
      <c r="W99">
        <v>2.7</v>
      </c>
      <c r="X99">
        <v>1.071</v>
      </c>
      <c r="Y99">
        <v>4.3</v>
      </c>
      <c r="Z99">
        <v>1.5</v>
      </c>
      <c r="AA99">
        <v>106.7</v>
      </c>
      <c r="AB99">
        <v>1</v>
      </c>
      <c r="AC99">
        <v>3.8</v>
      </c>
      <c r="AD99">
        <v>160.9</v>
      </c>
      <c r="AE99">
        <v>2.4</v>
      </c>
      <c r="AF99">
        <v>0.9</v>
      </c>
      <c r="AG99">
        <v>1.264</v>
      </c>
    </row>
    <row r="100" spans="1:33" x14ac:dyDescent="0.2">
      <c r="A100" t="s">
        <v>31</v>
      </c>
      <c r="B100" t="s">
        <v>130</v>
      </c>
      <c r="C100" s="5">
        <f t="shared" si="2"/>
        <v>1.0900000000000002E-2</v>
      </c>
      <c r="D100" s="2">
        <f t="shared" si="3"/>
        <v>-4.5080326495106968</v>
      </c>
      <c r="E100" s="4">
        <v>1.09E-2</v>
      </c>
      <c r="F100">
        <v>3.3</v>
      </c>
      <c r="G100">
        <v>5.0999999999999996</v>
      </c>
      <c r="H100">
        <v>1.2</v>
      </c>
      <c r="I100">
        <v>3</v>
      </c>
      <c r="J100">
        <v>4.2</v>
      </c>
      <c r="K100">
        <v>1.4</v>
      </c>
      <c r="L100">
        <v>5</v>
      </c>
      <c r="M100">
        <v>3.8</v>
      </c>
      <c r="N100">
        <v>4</v>
      </c>
      <c r="O100">
        <v>5.3</v>
      </c>
      <c r="P100">
        <v>6.5</v>
      </c>
      <c r="Q100">
        <v>8.4</v>
      </c>
      <c r="R100">
        <v>57046.400000000001</v>
      </c>
      <c r="S100">
        <v>319</v>
      </c>
      <c r="T100">
        <v>302.5</v>
      </c>
      <c r="U100">
        <v>38.6</v>
      </c>
      <c r="V100">
        <v>1.8</v>
      </c>
      <c r="W100">
        <v>2.1</v>
      </c>
      <c r="X100">
        <v>1.115</v>
      </c>
      <c r="Y100">
        <v>3.9</v>
      </c>
      <c r="Z100">
        <v>1.9</v>
      </c>
      <c r="AA100">
        <v>104.1</v>
      </c>
      <c r="AB100">
        <v>2.7</v>
      </c>
      <c r="AC100">
        <v>3.1</v>
      </c>
      <c r="AD100">
        <v>143.30000000000001</v>
      </c>
      <c r="AE100">
        <v>0.9</v>
      </c>
      <c r="AF100">
        <v>2.6</v>
      </c>
      <c r="AG100">
        <v>1.34</v>
      </c>
    </row>
    <row r="101" spans="1:33" x14ac:dyDescent="0.2">
      <c r="A101" t="s">
        <v>31</v>
      </c>
      <c r="B101" t="s">
        <v>131</v>
      </c>
      <c r="C101" s="5">
        <f t="shared" si="2"/>
        <v>1.2E-2</v>
      </c>
      <c r="D101" s="2">
        <f t="shared" si="3"/>
        <v>-4.4107760479598674</v>
      </c>
      <c r="E101" s="4">
        <v>1.2E-2</v>
      </c>
      <c r="F101">
        <v>1.9</v>
      </c>
      <c r="G101">
        <v>4.3</v>
      </c>
      <c r="H101">
        <v>2</v>
      </c>
      <c r="I101">
        <v>4.5999999999999996</v>
      </c>
      <c r="J101">
        <v>4.0999999999999996</v>
      </c>
      <c r="K101">
        <v>3</v>
      </c>
      <c r="L101">
        <v>4.4000000000000004</v>
      </c>
      <c r="M101">
        <v>4.0999999999999996</v>
      </c>
      <c r="N101">
        <v>4.3</v>
      </c>
      <c r="O101">
        <v>5.4</v>
      </c>
      <c r="P101">
        <v>6.6</v>
      </c>
      <c r="Q101">
        <v>7.8</v>
      </c>
      <c r="R101">
        <v>58399.3</v>
      </c>
      <c r="S101">
        <v>322</v>
      </c>
      <c r="T101">
        <v>303.10000000000002</v>
      </c>
      <c r="U101">
        <v>27.6</v>
      </c>
      <c r="V101">
        <v>1.5</v>
      </c>
      <c r="W101">
        <v>1.7</v>
      </c>
      <c r="X101">
        <v>1.0349999999999999</v>
      </c>
      <c r="Y101">
        <v>6.7</v>
      </c>
      <c r="Z101">
        <v>0.2</v>
      </c>
      <c r="AA101">
        <v>108.6</v>
      </c>
      <c r="AB101">
        <v>1.4</v>
      </c>
      <c r="AC101">
        <v>3.7</v>
      </c>
      <c r="AD101">
        <v>157.4</v>
      </c>
      <c r="AE101">
        <v>1.1000000000000001</v>
      </c>
      <c r="AF101">
        <v>3.3</v>
      </c>
      <c r="AG101">
        <v>1.252</v>
      </c>
    </row>
    <row r="102" spans="1:33" x14ac:dyDescent="0.2">
      <c r="A102" t="s">
        <v>31</v>
      </c>
      <c r="B102" t="s">
        <v>132</v>
      </c>
      <c r="C102" s="5">
        <f t="shared" si="2"/>
        <v>1.1799999999999996E-2</v>
      </c>
      <c r="D102" s="2">
        <f t="shared" si="3"/>
        <v>-4.4277855749400308</v>
      </c>
      <c r="E102" s="4">
        <v>1.18E-2</v>
      </c>
      <c r="F102">
        <v>-0.6</v>
      </c>
      <c r="G102">
        <v>2.9</v>
      </c>
      <c r="H102">
        <v>2.2999999999999998</v>
      </c>
      <c r="I102">
        <v>5.8</v>
      </c>
      <c r="J102">
        <v>4.0999999999999996</v>
      </c>
      <c r="K102">
        <v>3.8</v>
      </c>
      <c r="L102">
        <v>4.2</v>
      </c>
      <c r="M102">
        <v>4.3</v>
      </c>
      <c r="N102">
        <v>4.5</v>
      </c>
      <c r="O102">
        <v>5.6</v>
      </c>
      <c r="P102">
        <v>6.8</v>
      </c>
      <c r="Q102">
        <v>7.5</v>
      </c>
      <c r="R102">
        <v>55374.9</v>
      </c>
      <c r="S102">
        <v>322.39999999999998</v>
      </c>
      <c r="T102">
        <v>294.7</v>
      </c>
      <c r="U102">
        <v>27.9</v>
      </c>
      <c r="V102">
        <v>2.2999999999999998</v>
      </c>
      <c r="W102">
        <v>2.9</v>
      </c>
      <c r="X102">
        <v>1.08</v>
      </c>
      <c r="Y102">
        <v>6</v>
      </c>
      <c r="Z102">
        <v>-0.7</v>
      </c>
      <c r="AA102">
        <v>108.1</v>
      </c>
      <c r="AB102">
        <v>1.5</v>
      </c>
      <c r="AC102">
        <v>4.4000000000000004</v>
      </c>
      <c r="AD102">
        <v>149.9</v>
      </c>
      <c r="AE102">
        <v>2.7</v>
      </c>
      <c r="AF102">
        <v>4.4000000000000004</v>
      </c>
      <c r="AG102">
        <v>1.29</v>
      </c>
    </row>
    <row r="103" spans="1:33" x14ac:dyDescent="0.2">
      <c r="A103" t="s">
        <v>31</v>
      </c>
      <c r="B103" t="s">
        <v>133</v>
      </c>
      <c r="C103" s="5">
        <f t="shared" si="2"/>
        <v>1.1799999999999996E-2</v>
      </c>
      <c r="D103" s="2">
        <f t="shared" si="3"/>
        <v>-4.4277855749400308</v>
      </c>
      <c r="E103" s="4">
        <v>1.18E-2</v>
      </c>
      <c r="F103">
        <v>3.8</v>
      </c>
      <c r="G103">
        <v>6</v>
      </c>
      <c r="H103">
        <v>1.8</v>
      </c>
      <c r="I103">
        <v>4</v>
      </c>
      <c r="J103">
        <v>4.2</v>
      </c>
      <c r="K103">
        <v>1.6</v>
      </c>
      <c r="L103">
        <v>4.2</v>
      </c>
      <c r="M103">
        <v>4</v>
      </c>
      <c r="N103">
        <v>4.4000000000000004</v>
      </c>
      <c r="O103">
        <v>5.7</v>
      </c>
      <c r="P103">
        <v>6.8</v>
      </c>
      <c r="Q103">
        <v>7.5</v>
      </c>
      <c r="R103">
        <v>61309.5</v>
      </c>
      <c r="S103">
        <v>322</v>
      </c>
      <c r="T103">
        <v>289.60000000000002</v>
      </c>
      <c r="U103">
        <v>52.3</v>
      </c>
      <c r="V103">
        <v>0.6</v>
      </c>
      <c r="W103">
        <v>1.5</v>
      </c>
      <c r="X103">
        <v>1.177</v>
      </c>
      <c r="Y103">
        <v>4.5</v>
      </c>
      <c r="Z103">
        <v>1.1000000000000001</v>
      </c>
      <c r="AA103">
        <v>106.4</v>
      </c>
      <c r="AB103">
        <v>2.1</v>
      </c>
      <c r="AC103">
        <v>2.2000000000000002</v>
      </c>
      <c r="AD103">
        <v>144.19999999999999</v>
      </c>
      <c r="AE103">
        <v>0.9</v>
      </c>
      <c r="AF103">
        <v>3.5</v>
      </c>
      <c r="AG103">
        <v>1.3720000000000001</v>
      </c>
    </row>
    <row r="104" spans="1:33" x14ac:dyDescent="0.2">
      <c r="A104" t="s">
        <v>31</v>
      </c>
      <c r="B104" t="s">
        <v>134</v>
      </c>
      <c r="C104" s="5">
        <f t="shared" si="2"/>
        <v>1.2500000000000001E-2</v>
      </c>
      <c r="D104" s="2">
        <f t="shared" si="3"/>
        <v>-4.3694478524670215</v>
      </c>
      <c r="E104" s="4">
        <v>1.2500000000000001E-2</v>
      </c>
      <c r="F104">
        <v>4.3</v>
      </c>
      <c r="G104">
        <v>8.1999999999999993</v>
      </c>
      <c r="H104">
        <v>0</v>
      </c>
      <c r="I104">
        <v>2.8</v>
      </c>
      <c r="J104">
        <v>4.3</v>
      </c>
      <c r="K104">
        <v>3.1</v>
      </c>
      <c r="L104">
        <v>4.0999999999999996</v>
      </c>
      <c r="M104">
        <v>3.8</v>
      </c>
      <c r="N104">
        <v>4.3</v>
      </c>
      <c r="O104">
        <v>5.3</v>
      </c>
      <c r="P104">
        <v>6.6</v>
      </c>
      <c r="Q104">
        <v>7.5</v>
      </c>
      <c r="R104">
        <v>66145.7</v>
      </c>
      <c r="S104">
        <v>322.89999999999998</v>
      </c>
      <c r="T104">
        <v>302.89999999999998</v>
      </c>
      <c r="U104">
        <v>20.399999999999999</v>
      </c>
      <c r="V104">
        <v>1.1000000000000001</v>
      </c>
      <c r="W104">
        <v>2.2999999999999998</v>
      </c>
      <c r="X104">
        <v>1.1739999999999999</v>
      </c>
      <c r="Y104">
        <v>4.0999999999999996</v>
      </c>
      <c r="Z104">
        <v>0.5</v>
      </c>
      <c r="AA104">
        <v>107.2</v>
      </c>
      <c r="AB104">
        <v>-2.2999999999999998</v>
      </c>
      <c r="AC104">
        <v>1.2</v>
      </c>
      <c r="AD104">
        <v>148</v>
      </c>
      <c r="AE104">
        <v>0.4</v>
      </c>
      <c r="AF104">
        <v>3.9</v>
      </c>
      <c r="AG104">
        <v>1.3440000000000001</v>
      </c>
    </row>
    <row r="105" spans="1:33" x14ac:dyDescent="0.2">
      <c r="A105" t="s">
        <v>31</v>
      </c>
      <c r="B105" t="s">
        <v>135</v>
      </c>
      <c r="C105" s="5">
        <f t="shared" si="2"/>
        <v>2.3398859999999994E-2</v>
      </c>
      <c r="D105" s="2">
        <f t="shared" si="3"/>
        <v>-3.7313910157138741</v>
      </c>
      <c r="E105" s="4">
        <f>(-0.0003618*F105)+(-0.0001968*K105)+(0.0007959*J105)+(0.0057395*O105)+(0.0001135*U105)+(0.0002302*V105)+(-0.0116528)</f>
        <v>2.3398859999999994E-2</v>
      </c>
      <c r="F105">
        <v>1</v>
      </c>
      <c r="G105">
        <v>4</v>
      </c>
      <c r="H105">
        <v>1.1000000000000001</v>
      </c>
      <c r="I105">
        <v>3.9</v>
      </c>
      <c r="J105">
        <v>4.5</v>
      </c>
      <c r="K105">
        <v>2.8</v>
      </c>
      <c r="L105">
        <v>3.7</v>
      </c>
      <c r="M105">
        <v>3.7</v>
      </c>
      <c r="N105">
        <v>4.0999999999999996</v>
      </c>
      <c r="O105">
        <v>5.0999999999999996</v>
      </c>
      <c r="P105">
        <v>6.2</v>
      </c>
      <c r="Q105">
        <v>7</v>
      </c>
      <c r="R105">
        <v>67501.5</v>
      </c>
      <c r="S105">
        <v>323.39999999999998</v>
      </c>
      <c r="T105">
        <v>305.8</v>
      </c>
      <c r="U105">
        <v>26.4</v>
      </c>
      <c r="V105">
        <v>0.5</v>
      </c>
      <c r="W105">
        <v>1.6</v>
      </c>
      <c r="X105">
        <v>1.1739999999999999</v>
      </c>
      <c r="Y105">
        <v>3.7</v>
      </c>
      <c r="Z105">
        <v>1</v>
      </c>
      <c r="AA105">
        <v>106.8</v>
      </c>
      <c r="AB105">
        <v>0.6</v>
      </c>
      <c r="AC105">
        <v>2.1</v>
      </c>
      <c r="AD105">
        <v>156.80000000000001</v>
      </c>
      <c r="AE105">
        <v>0.7</v>
      </c>
      <c r="AF105">
        <v>2.8</v>
      </c>
      <c r="AG105">
        <v>1.345</v>
      </c>
    </row>
    <row r="106" spans="1:33" x14ac:dyDescent="0.2">
      <c r="A106" t="s">
        <v>31</v>
      </c>
      <c r="B106" t="s">
        <v>136</v>
      </c>
      <c r="C106" s="5">
        <f t="shared" si="2"/>
        <v>2.3439640000000005E-2</v>
      </c>
      <c r="D106" s="2">
        <f t="shared" si="3"/>
        <v>-3.7296079547733236</v>
      </c>
      <c r="E106" s="4">
        <f t="shared" ref="E106:E118" si="4">(-0.0003618*F106)+(-0.0001968*K106)+(0.0007959*J106)+(0.0057395*O106)+(0.0001135*U106)+(0.0002302*V106)+(-0.0116528)</f>
        <v>2.3439640000000005E-2</v>
      </c>
      <c r="F106">
        <v>1.9</v>
      </c>
      <c r="G106">
        <v>4.8</v>
      </c>
      <c r="H106">
        <v>3.1</v>
      </c>
      <c r="I106">
        <v>6.2</v>
      </c>
      <c r="J106">
        <v>4.5999999999999996</v>
      </c>
      <c r="K106">
        <v>3</v>
      </c>
      <c r="L106">
        <v>3.6</v>
      </c>
      <c r="M106">
        <v>3.7</v>
      </c>
      <c r="N106">
        <v>4.0999999999999996</v>
      </c>
      <c r="O106">
        <v>5.2</v>
      </c>
      <c r="P106">
        <v>6.1</v>
      </c>
      <c r="Q106">
        <v>6.6</v>
      </c>
      <c r="R106">
        <v>68298.899999999994</v>
      </c>
      <c r="S106">
        <v>324.7</v>
      </c>
      <c r="T106">
        <v>309.5</v>
      </c>
      <c r="U106">
        <v>23</v>
      </c>
      <c r="V106">
        <v>1.1000000000000001</v>
      </c>
      <c r="W106">
        <v>1.8</v>
      </c>
      <c r="X106">
        <v>1.1759999999999999</v>
      </c>
      <c r="Y106">
        <v>4.4000000000000004</v>
      </c>
      <c r="Z106">
        <v>1.2</v>
      </c>
      <c r="AA106">
        <v>106.9</v>
      </c>
      <c r="AB106">
        <v>0.8</v>
      </c>
      <c r="AC106">
        <v>1.9</v>
      </c>
      <c r="AD106">
        <v>155.5</v>
      </c>
      <c r="AE106">
        <v>1.1000000000000001</v>
      </c>
      <c r="AF106">
        <v>2.5</v>
      </c>
      <c r="AG106">
        <v>1.3440000000000001</v>
      </c>
    </row>
    <row r="107" spans="1:33" x14ac:dyDescent="0.2">
      <c r="A107" t="s">
        <v>31</v>
      </c>
      <c r="B107" t="s">
        <v>137</v>
      </c>
      <c r="C107" s="5">
        <f t="shared" si="2"/>
        <v>2.405121E-2</v>
      </c>
      <c r="D107" s="2">
        <f t="shared" si="3"/>
        <v>-3.7032248086377542</v>
      </c>
      <c r="E107" s="4">
        <f t="shared" si="4"/>
        <v>2.4051209999999996E-2</v>
      </c>
      <c r="F107">
        <v>1.9</v>
      </c>
      <c r="G107">
        <v>4.5</v>
      </c>
      <c r="H107">
        <v>2.1</v>
      </c>
      <c r="I107">
        <v>4.8</v>
      </c>
      <c r="J107">
        <v>4.5999999999999996</v>
      </c>
      <c r="K107">
        <v>2.7</v>
      </c>
      <c r="L107">
        <v>3.4</v>
      </c>
      <c r="M107">
        <v>3.6</v>
      </c>
      <c r="N107">
        <v>4.0999999999999996</v>
      </c>
      <c r="O107">
        <v>5.3</v>
      </c>
      <c r="P107">
        <v>6</v>
      </c>
      <c r="Q107">
        <v>6.4</v>
      </c>
      <c r="R107">
        <v>69057.100000000006</v>
      </c>
      <c r="S107">
        <v>325.8</v>
      </c>
      <c r="T107">
        <v>312.89999999999998</v>
      </c>
      <c r="U107">
        <v>22</v>
      </c>
      <c r="V107">
        <v>1.5</v>
      </c>
      <c r="W107">
        <v>1.8</v>
      </c>
      <c r="X107">
        <v>1.179</v>
      </c>
      <c r="Y107">
        <v>5</v>
      </c>
      <c r="Z107">
        <v>1.4</v>
      </c>
      <c r="AA107">
        <v>107</v>
      </c>
      <c r="AB107">
        <v>0.9</v>
      </c>
      <c r="AC107">
        <v>1.8</v>
      </c>
      <c r="AD107">
        <v>154.19999999999999</v>
      </c>
      <c r="AE107">
        <v>1.3</v>
      </c>
      <c r="AF107">
        <v>2.2000000000000002</v>
      </c>
      <c r="AG107">
        <v>1.3440000000000001</v>
      </c>
    </row>
    <row r="108" spans="1:33" x14ac:dyDescent="0.2">
      <c r="A108" t="s">
        <v>31</v>
      </c>
      <c r="B108" t="s">
        <v>138</v>
      </c>
      <c r="C108" s="5">
        <f t="shared" si="2"/>
        <v>2.4069399999999998E-2</v>
      </c>
      <c r="D108" s="2">
        <f t="shared" si="3"/>
        <v>-3.7024501531386225</v>
      </c>
      <c r="E108" s="4">
        <f t="shared" si="4"/>
        <v>2.4069399999999998E-2</v>
      </c>
      <c r="F108">
        <v>2</v>
      </c>
      <c r="G108">
        <v>4.5</v>
      </c>
      <c r="H108">
        <v>1.9</v>
      </c>
      <c r="I108">
        <v>4.5</v>
      </c>
      <c r="J108">
        <v>4.5999999999999996</v>
      </c>
      <c r="K108">
        <v>2.6</v>
      </c>
      <c r="L108">
        <v>3.2</v>
      </c>
      <c r="M108">
        <v>3.7</v>
      </c>
      <c r="N108">
        <v>4.0999999999999996</v>
      </c>
      <c r="O108">
        <v>5.3</v>
      </c>
      <c r="P108">
        <v>6</v>
      </c>
      <c r="Q108">
        <v>6.2</v>
      </c>
      <c r="R108">
        <v>69820</v>
      </c>
      <c r="S108">
        <v>326.3</v>
      </c>
      <c r="T108">
        <v>316.3</v>
      </c>
      <c r="U108">
        <v>21.9</v>
      </c>
      <c r="V108">
        <v>1.7</v>
      </c>
      <c r="W108">
        <v>1.8</v>
      </c>
      <c r="X108">
        <v>1.1819999999999999</v>
      </c>
      <c r="Y108">
        <v>5.2</v>
      </c>
      <c r="Z108">
        <v>1.5</v>
      </c>
      <c r="AA108">
        <v>107.1</v>
      </c>
      <c r="AB108">
        <v>0.9</v>
      </c>
      <c r="AC108">
        <v>1.8</v>
      </c>
      <c r="AD108">
        <v>153</v>
      </c>
      <c r="AE108">
        <v>1.4</v>
      </c>
      <c r="AF108">
        <v>2.1</v>
      </c>
      <c r="AG108">
        <v>1.343</v>
      </c>
    </row>
    <row r="109" spans="1:33" x14ac:dyDescent="0.2">
      <c r="A109" t="s">
        <v>31</v>
      </c>
      <c r="B109" t="s">
        <v>139</v>
      </c>
      <c r="C109" s="5">
        <f t="shared" si="2"/>
        <v>2.4583119999999997E-2</v>
      </c>
      <c r="D109" s="2">
        <f t="shared" si="3"/>
        <v>-3.680804920298876</v>
      </c>
      <c r="E109" s="4">
        <f t="shared" si="4"/>
        <v>2.458312E-2</v>
      </c>
      <c r="F109">
        <v>2</v>
      </c>
      <c r="G109">
        <v>4.5</v>
      </c>
      <c r="H109">
        <v>2.2000000000000002</v>
      </c>
      <c r="I109">
        <v>4.5999999999999996</v>
      </c>
      <c r="J109">
        <v>4.5</v>
      </c>
      <c r="K109">
        <v>2.5</v>
      </c>
      <c r="L109">
        <v>3.1</v>
      </c>
      <c r="M109">
        <v>3.7</v>
      </c>
      <c r="N109">
        <v>4.0999999999999996</v>
      </c>
      <c r="O109">
        <v>5.4</v>
      </c>
      <c r="P109">
        <v>6</v>
      </c>
      <c r="Q109">
        <v>6.1</v>
      </c>
      <c r="R109">
        <v>70592</v>
      </c>
      <c r="S109">
        <v>326.7</v>
      </c>
      <c r="T109">
        <v>319.8</v>
      </c>
      <c r="U109">
        <v>22.1</v>
      </c>
      <c r="V109">
        <v>1.6</v>
      </c>
      <c r="W109">
        <v>1.9</v>
      </c>
      <c r="X109">
        <v>1.1850000000000001</v>
      </c>
      <c r="Y109">
        <v>4.9000000000000004</v>
      </c>
      <c r="Z109">
        <v>1.5</v>
      </c>
      <c r="AA109">
        <v>107.1</v>
      </c>
      <c r="AB109">
        <v>0.9</v>
      </c>
      <c r="AC109">
        <v>1.9</v>
      </c>
      <c r="AD109">
        <v>151.69999999999999</v>
      </c>
      <c r="AE109">
        <v>1.4</v>
      </c>
      <c r="AF109">
        <v>2</v>
      </c>
      <c r="AG109">
        <v>1.343</v>
      </c>
    </row>
    <row r="110" spans="1:33" x14ac:dyDescent="0.2">
      <c r="A110" t="s">
        <v>31</v>
      </c>
      <c r="B110" t="s">
        <v>141</v>
      </c>
      <c r="C110" s="5">
        <f t="shared" si="2"/>
        <v>2.4569320000000009E-2</v>
      </c>
      <c r="D110" s="2">
        <f t="shared" si="3"/>
        <v>-3.6813805864214282</v>
      </c>
      <c r="E110" s="4">
        <f t="shared" si="4"/>
        <v>2.4569320000000006E-2</v>
      </c>
      <c r="F110">
        <v>2.1</v>
      </c>
      <c r="G110">
        <v>4.5</v>
      </c>
      <c r="H110">
        <v>2.4</v>
      </c>
      <c r="I110">
        <v>4.8</v>
      </c>
      <c r="J110">
        <v>4.5</v>
      </c>
      <c r="K110">
        <v>2.5</v>
      </c>
      <c r="L110">
        <v>3.1</v>
      </c>
      <c r="M110">
        <v>3.7</v>
      </c>
      <c r="N110">
        <v>4.0999999999999996</v>
      </c>
      <c r="O110">
        <v>5.4</v>
      </c>
      <c r="P110">
        <v>5.9</v>
      </c>
      <c r="Q110">
        <v>6.1</v>
      </c>
      <c r="R110">
        <v>71366.399999999994</v>
      </c>
      <c r="S110">
        <v>327</v>
      </c>
      <c r="T110">
        <v>323.39999999999998</v>
      </c>
      <c r="U110">
        <v>22.5</v>
      </c>
      <c r="V110">
        <v>1.5</v>
      </c>
      <c r="W110">
        <v>1.9</v>
      </c>
      <c r="X110">
        <v>1.1859999999999999</v>
      </c>
      <c r="Y110">
        <v>4.3</v>
      </c>
      <c r="Z110">
        <v>1.6</v>
      </c>
      <c r="AA110">
        <v>106.9</v>
      </c>
      <c r="AB110">
        <v>0.9</v>
      </c>
      <c r="AC110">
        <v>1.9</v>
      </c>
      <c r="AD110">
        <v>150</v>
      </c>
      <c r="AE110">
        <v>1.4</v>
      </c>
      <c r="AF110">
        <v>2.1</v>
      </c>
      <c r="AG110">
        <v>1.3460000000000001</v>
      </c>
    </row>
    <row r="111" spans="1:33" x14ac:dyDescent="0.2">
      <c r="A111" t="s">
        <v>31</v>
      </c>
      <c r="B111" t="s">
        <v>142</v>
      </c>
      <c r="C111" s="5">
        <f t="shared" si="2"/>
        <v>2.5125419999999996E-2</v>
      </c>
      <c r="D111" s="2">
        <f t="shared" si="3"/>
        <v>-3.6584287441686723</v>
      </c>
      <c r="E111" s="4">
        <f t="shared" si="4"/>
        <v>2.5125420000000002E-2</v>
      </c>
      <c r="F111">
        <v>2.1</v>
      </c>
      <c r="G111">
        <v>4.4000000000000004</v>
      </c>
      <c r="H111">
        <v>2.2999999999999998</v>
      </c>
      <c r="I111">
        <v>4.5999999999999996</v>
      </c>
      <c r="J111">
        <v>4.4000000000000004</v>
      </c>
      <c r="K111">
        <v>2.2999999999999998</v>
      </c>
      <c r="L111">
        <v>3.1</v>
      </c>
      <c r="M111">
        <v>3.7</v>
      </c>
      <c r="N111">
        <v>4.0999999999999996</v>
      </c>
      <c r="O111">
        <v>5.5</v>
      </c>
      <c r="P111">
        <v>5.9</v>
      </c>
      <c r="Q111">
        <v>6.1</v>
      </c>
      <c r="R111">
        <v>72137.7</v>
      </c>
      <c r="S111">
        <v>327.3</v>
      </c>
      <c r="T111">
        <v>326.8</v>
      </c>
      <c r="U111">
        <v>22.9</v>
      </c>
      <c r="V111">
        <v>1.4</v>
      </c>
      <c r="W111">
        <v>2</v>
      </c>
      <c r="X111">
        <v>1.1870000000000001</v>
      </c>
      <c r="Y111">
        <v>3.9</v>
      </c>
      <c r="Z111">
        <v>1.7</v>
      </c>
      <c r="AA111">
        <v>106.6</v>
      </c>
      <c r="AB111">
        <v>0.8</v>
      </c>
      <c r="AC111">
        <v>1.9</v>
      </c>
      <c r="AD111">
        <v>148.19999999999999</v>
      </c>
      <c r="AE111">
        <v>1.4</v>
      </c>
      <c r="AF111">
        <v>2.1</v>
      </c>
      <c r="AG111">
        <v>1.35</v>
      </c>
    </row>
    <row r="112" spans="1:33" x14ac:dyDescent="0.2">
      <c r="A112" t="s">
        <v>31</v>
      </c>
      <c r="B112" t="s">
        <v>143</v>
      </c>
      <c r="C112" s="5">
        <f t="shared" si="2"/>
        <v>2.5073360000000006E-2</v>
      </c>
      <c r="D112" s="2">
        <f t="shared" si="3"/>
        <v>-3.6605562992210139</v>
      </c>
      <c r="E112" s="4">
        <f t="shared" si="4"/>
        <v>2.5073360000000003E-2</v>
      </c>
      <c r="F112">
        <v>2</v>
      </c>
      <c r="G112">
        <v>4.3</v>
      </c>
      <c r="H112">
        <v>2.2000000000000002</v>
      </c>
      <c r="I112">
        <v>4.4000000000000004</v>
      </c>
      <c r="J112">
        <v>4.3</v>
      </c>
      <c r="K112">
        <v>2.4</v>
      </c>
      <c r="L112">
        <v>3.1</v>
      </c>
      <c r="M112">
        <v>3.8</v>
      </c>
      <c r="N112">
        <v>4.0999999999999996</v>
      </c>
      <c r="O112">
        <v>5.5</v>
      </c>
      <c r="P112">
        <v>5.8</v>
      </c>
      <c r="Q112">
        <v>6.1</v>
      </c>
      <c r="R112">
        <v>72894.600000000006</v>
      </c>
      <c r="S112">
        <v>327.39999999999998</v>
      </c>
      <c r="T112">
        <v>330.3</v>
      </c>
      <c r="U112">
        <v>23.2</v>
      </c>
      <c r="V112">
        <v>1.3</v>
      </c>
      <c r="W112">
        <v>2</v>
      </c>
      <c r="X112">
        <v>1.1879999999999999</v>
      </c>
      <c r="Y112">
        <v>3.9</v>
      </c>
      <c r="Z112">
        <v>1.8</v>
      </c>
      <c r="AA112">
        <v>106.4</v>
      </c>
      <c r="AB112">
        <v>0.8</v>
      </c>
      <c r="AC112">
        <v>1.9</v>
      </c>
      <c r="AD112">
        <v>146.5</v>
      </c>
      <c r="AE112">
        <v>1.4</v>
      </c>
      <c r="AF112">
        <v>2.1</v>
      </c>
      <c r="AG112">
        <v>1.353</v>
      </c>
    </row>
    <row r="113" spans="1:33" x14ac:dyDescent="0.2">
      <c r="A113" t="s">
        <v>31</v>
      </c>
      <c r="B113" t="s">
        <v>144</v>
      </c>
      <c r="C113" s="5">
        <f t="shared" si="2"/>
        <v>2.5701039999999994E-2</v>
      </c>
      <c r="D113" s="2">
        <f t="shared" si="3"/>
        <v>-3.635186738989217</v>
      </c>
      <c r="E113" s="4">
        <f t="shared" si="4"/>
        <v>2.5701040000000001E-2</v>
      </c>
      <c r="F113">
        <v>2</v>
      </c>
      <c r="G113">
        <v>4.3</v>
      </c>
      <c r="H113">
        <v>2.2000000000000002</v>
      </c>
      <c r="I113">
        <v>4.4000000000000004</v>
      </c>
      <c r="J113">
        <v>4.3</v>
      </c>
      <c r="K113">
        <v>2.2999999999999998</v>
      </c>
      <c r="L113">
        <v>3.1</v>
      </c>
      <c r="M113">
        <v>3.9</v>
      </c>
      <c r="N113">
        <v>4.2</v>
      </c>
      <c r="O113">
        <v>5.6</v>
      </c>
      <c r="P113">
        <v>5.8</v>
      </c>
      <c r="Q113">
        <v>6.1</v>
      </c>
      <c r="R113">
        <v>73663.8</v>
      </c>
      <c r="S113">
        <v>327.60000000000002</v>
      </c>
      <c r="T113">
        <v>333.8</v>
      </c>
      <c r="U113">
        <v>23.5</v>
      </c>
      <c r="V113">
        <v>1.3</v>
      </c>
      <c r="W113">
        <v>2</v>
      </c>
      <c r="X113">
        <v>1.1890000000000001</v>
      </c>
      <c r="Y113">
        <v>4.0999999999999996</v>
      </c>
      <c r="Z113">
        <v>1.9</v>
      </c>
      <c r="AA113">
        <v>106.2</v>
      </c>
      <c r="AB113">
        <v>0.8</v>
      </c>
      <c r="AC113">
        <v>1.9</v>
      </c>
      <c r="AD113">
        <v>144.80000000000001</v>
      </c>
      <c r="AE113">
        <v>1.4</v>
      </c>
      <c r="AF113">
        <v>2.1</v>
      </c>
      <c r="AG113">
        <v>1.3560000000000001</v>
      </c>
    </row>
    <row r="114" spans="1:33" x14ac:dyDescent="0.2">
      <c r="A114" t="s">
        <v>31</v>
      </c>
      <c r="B114" t="s">
        <v>145</v>
      </c>
      <c r="C114" s="5">
        <f t="shared" si="2"/>
        <v>2.5777789999999998E-2</v>
      </c>
      <c r="D114" s="2">
        <f t="shared" si="3"/>
        <v>-3.6321261508380478</v>
      </c>
      <c r="E114" s="4">
        <f t="shared" si="4"/>
        <v>2.5777789999999995E-2</v>
      </c>
      <c r="F114">
        <v>2</v>
      </c>
      <c r="G114">
        <v>4.2</v>
      </c>
      <c r="H114">
        <v>2.1</v>
      </c>
      <c r="I114">
        <v>4.4000000000000004</v>
      </c>
      <c r="J114">
        <v>4.3</v>
      </c>
      <c r="K114">
        <v>2.2000000000000002</v>
      </c>
      <c r="L114">
        <v>3.1</v>
      </c>
      <c r="M114">
        <v>3.9</v>
      </c>
      <c r="N114">
        <v>4.0999999999999996</v>
      </c>
      <c r="O114">
        <v>5.6</v>
      </c>
      <c r="P114">
        <v>5.8</v>
      </c>
      <c r="Q114">
        <v>6.1</v>
      </c>
      <c r="R114">
        <v>74418.899999999994</v>
      </c>
      <c r="S114">
        <v>327.8</v>
      </c>
      <c r="T114">
        <v>337.2</v>
      </c>
      <c r="U114">
        <v>23.8</v>
      </c>
      <c r="V114">
        <v>1.4</v>
      </c>
      <c r="W114">
        <v>1.9</v>
      </c>
      <c r="X114">
        <v>1.1890000000000001</v>
      </c>
      <c r="Y114">
        <v>4.4000000000000004</v>
      </c>
      <c r="Z114">
        <v>2</v>
      </c>
      <c r="AA114">
        <v>106.2</v>
      </c>
      <c r="AB114">
        <v>0.7</v>
      </c>
      <c r="AC114">
        <v>1.9</v>
      </c>
      <c r="AD114">
        <v>144.80000000000001</v>
      </c>
      <c r="AE114">
        <v>1.3</v>
      </c>
      <c r="AF114">
        <v>2</v>
      </c>
      <c r="AG114">
        <v>1.3560000000000001</v>
      </c>
    </row>
    <row r="115" spans="1:33" x14ac:dyDescent="0.2">
      <c r="A115" t="s">
        <v>31</v>
      </c>
      <c r="B115" t="s">
        <v>146</v>
      </c>
      <c r="C115" s="5">
        <f t="shared" si="2"/>
        <v>2.5811839999999999E-2</v>
      </c>
      <c r="D115" s="2">
        <f t="shared" si="3"/>
        <v>-3.6307711663495952</v>
      </c>
      <c r="E115" s="4">
        <f t="shared" si="4"/>
        <v>2.5811839999999996E-2</v>
      </c>
      <c r="F115">
        <v>2</v>
      </c>
      <c r="G115">
        <v>4.0999999999999996</v>
      </c>
      <c r="H115">
        <v>2.1</v>
      </c>
      <c r="I115">
        <v>4.4000000000000004</v>
      </c>
      <c r="J115">
        <v>4.3</v>
      </c>
      <c r="K115">
        <v>2.2000000000000002</v>
      </c>
      <c r="L115">
        <v>3</v>
      </c>
      <c r="M115">
        <v>3.9</v>
      </c>
      <c r="N115">
        <v>4.0999999999999996</v>
      </c>
      <c r="O115">
        <v>5.6</v>
      </c>
      <c r="P115">
        <v>5.8</v>
      </c>
      <c r="Q115">
        <v>6</v>
      </c>
      <c r="R115">
        <v>75173.899999999994</v>
      </c>
      <c r="S115">
        <v>328.2</v>
      </c>
      <c r="T115">
        <v>340.6</v>
      </c>
      <c r="U115">
        <v>24.1</v>
      </c>
      <c r="V115">
        <v>1.4</v>
      </c>
      <c r="W115">
        <v>1.9</v>
      </c>
      <c r="X115">
        <v>1.1890000000000001</v>
      </c>
      <c r="Y115">
        <v>4.5999999999999996</v>
      </c>
      <c r="Z115">
        <v>2</v>
      </c>
      <c r="AA115">
        <v>106.2</v>
      </c>
      <c r="AB115">
        <v>0.6</v>
      </c>
      <c r="AC115">
        <v>1.8</v>
      </c>
      <c r="AD115">
        <v>144.80000000000001</v>
      </c>
      <c r="AE115">
        <v>1.3</v>
      </c>
      <c r="AF115">
        <v>2</v>
      </c>
      <c r="AG115">
        <v>1.3560000000000001</v>
      </c>
    </row>
    <row r="116" spans="1:33" x14ac:dyDescent="0.2">
      <c r="A116" t="s">
        <v>31</v>
      </c>
      <c r="B116" t="s">
        <v>147</v>
      </c>
      <c r="C116" s="5">
        <f t="shared" si="2"/>
        <v>2.5834539999999993E-2</v>
      </c>
      <c r="D116" s="2">
        <f t="shared" si="3"/>
        <v>-3.6298688097340728</v>
      </c>
      <c r="E116" s="4">
        <f t="shared" si="4"/>
        <v>2.5834539999999996E-2</v>
      </c>
      <c r="F116">
        <v>2</v>
      </c>
      <c r="G116">
        <v>4.0999999999999996</v>
      </c>
      <c r="H116">
        <v>2.1</v>
      </c>
      <c r="I116">
        <v>4.3</v>
      </c>
      <c r="J116">
        <v>4.3</v>
      </c>
      <c r="K116">
        <v>2.2000000000000002</v>
      </c>
      <c r="L116">
        <v>3</v>
      </c>
      <c r="M116">
        <v>3.9</v>
      </c>
      <c r="N116">
        <v>4.0999999999999996</v>
      </c>
      <c r="O116">
        <v>5.6</v>
      </c>
      <c r="P116">
        <v>5.7</v>
      </c>
      <c r="Q116">
        <v>6</v>
      </c>
      <c r="R116">
        <v>75929</v>
      </c>
      <c r="S116">
        <v>328.6</v>
      </c>
      <c r="T116">
        <v>344</v>
      </c>
      <c r="U116">
        <v>24.3</v>
      </c>
      <c r="V116">
        <v>1.4</v>
      </c>
      <c r="W116">
        <v>1.9</v>
      </c>
      <c r="X116">
        <v>1.1890000000000001</v>
      </c>
      <c r="Y116">
        <v>4.5999999999999996</v>
      </c>
      <c r="Z116">
        <v>2.1</v>
      </c>
      <c r="AA116">
        <v>106.2</v>
      </c>
      <c r="AB116">
        <v>0.6</v>
      </c>
      <c r="AC116">
        <v>1.8</v>
      </c>
      <c r="AD116">
        <v>144.80000000000001</v>
      </c>
      <c r="AE116">
        <v>1.3</v>
      </c>
      <c r="AF116">
        <v>2</v>
      </c>
      <c r="AG116">
        <v>1.3560000000000001</v>
      </c>
    </row>
    <row r="117" spans="1:33" x14ac:dyDescent="0.2">
      <c r="A117" t="s">
        <v>31</v>
      </c>
      <c r="B117" t="s">
        <v>148</v>
      </c>
      <c r="C117" s="5">
        <f t="shared" si="2"/>
        <v>2.5857239999999997E-2</v>
      </c>
      <c r="D117" s="2">
        <f t="shared" si="3"/>
        <v>-3.6289672246344353</v>
      </c>
      <c r="E117" s="4">
        <f t="shared" si="4"/>
        <v>2.5857239999999997E-2</v>
      </c>
      <c r="F117">
        <v>2</v>
      </c>
      <c r="G117">
        <v>4</v>
      </c>
      <c r="H117">
        <v>2.1</v>
      </c>
      <c r="I117">
        <v>4.3</v>
      </c>
      <c r="J117">
        <v>4.3</v>
      </c>
      <c r="K117">
        <v>2.2000000000000002</v>
      </c>
      <c r="L117">
        <v>3</v>
      </c>
      <c r="M117">
        <v>3.9</v>
      </c>
      <c r="N117">
        <v>4.0999999999999996</v>
      </c>
      <c r="O117">
        <v>5.6</v>
      </c>
      <c r="P117">
        <v>5.7</v>
      </c>
      <c r="Q117">
        <v>6</v>
      </c>
      <c r="R117">
        <v>76684</v>
      </c>
      <c r="S117">
        <v>329.1</v>
      </c>
      <c r="T117">
        <v>347.4</v>
      </c>
      <c r="U117">
        <v>24.5</v>
      </c>
      <c r="V117">
        <v>1.4</v>
      </c>
      <c r="W117">
        <v>1.9</v>
      </c>
      <c r="X117">
        <v>1.1890000000000001</v>
      </c>
      <c r="Y117">
        <v>4.5</v>
      </c>
      <c r="Z117">
        <v>2.1</v>
      </c>
      <c r="AA117">
        <v>106.2</v>
      </c>
      <c r="AB117">
        <v>0.7</v>
      </c>
      <c r="AC117">
        <v>1.8</v>
      </c>
      <c r="AD117">
        <v>144.80000000000001</v>
      </c>
      <c r="AE117">
        <v>1.3</v>
      </c>
      <c r="AF117">
        <v>2</v>
      </c>
      <c r="AG117">
        <v>1.3560000000000001</v>
      </c>
    </row>
    <row r="118" spans="1:33" x14ac:dyDescent="0.2">
      <c r="A118" t="s">
        <v>31</v>
      </c>
      <c r="B118" t="s">
        <v>140</v>
      </c>
      <c r="C118" s="5">
        <f t="shared" si="2"/>
        <v>2.5802159999999991E-2</v>
      </c>
      <c r="D118" s="2">
        <f t="shared" si="3"/>
        <v>-3.6311561948127222</v>
      </c>
      <c r="E118" s="4">
        <f t="shared" si="4"/>
        <v>2.5802159999999998E-2</v>
      </c>
      <c r="F118">
        <v>1.9</v>
      </c>
      <c r="G118">
        <v>4.0999999999999996</v>
      </c>
      <c r="H118">
        <v>2.1</v>
      </c>
      <c r="I118">
        <v>4.3</v>
      </c>
      <c r="J118">
        <v>4.2</v>
      </c>
      <c r="K118">
        <v>2.2000000000000002</v>
      </c>
      <c r="L118">
        <v>3</v>
      </c>
      <c r="M118">
        <v>3.9</v>
      </c>
      <c r="N118">
        <v>4.0999999999999996</v>
      </c>
      <c r="O118">
        <v>5.6</v>
      </c>
      <c r="P118">
        <v>5.7</v>
      </c>
      <c r="Q118">
        <v>6</v>
      </c>
      <c r="R118">
        <v>77450.899999999994</v>
      </c>
      <c r="S118">
        <v>329.7</v>
      </c>
      <c r="T118">
        <v>350.9</v>
      </c>
      <c r="U118">
        <v>24.6</v>
      </c>
      <c r="V118">
        <v>1.3</v>
      </c>
      <c r="W118">
        <v>1.9</v>
      </c>
      <c r="X118">
        <v>1.1890000000000001</v>
      </c>
      <c r="Y118">
        <v>4.0999999999999996</v>
      </c>
      <c r="Z118">
        <v>2.1</v>
      </c>
      <c r="AA118">
        <v>106.2</v>
      </c>
      <c r="AB118">
        <v>0.7</v>
      </c>
      <c r="AC118">
        <v>1.8</v>
      </c>
      <c r="AD118">
        <v>144.80000000000001</v>
      </c>
      <c r="AE118">
        <v>1.3</v>
      </c>
      <c r="AF118">
        <v>2</v>
      </c>
      <c r="AG118">
        <v>1.3560000000000001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Kadiman</cp:lastModifiedBy>
  <dcterms:created xsi:type="dcterms:W3CDTF">2026-03-28T16:15:19Z</dcterms:created>
  <dcterms:modified xsi:type="dcterms:W3CDTF">2026-03-28T17:24:20Z</dcterms:modified>
</cp:coreProperties>
</file>